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Compare" state="visible" r:id="rId3"/>
    <sheet sheetId="2" name="Frames" state="visible" r:id="rId4"/>
    <sheet sheetId="3" name="Glitches" state="visible" r:id="rId5"/>
    <sheet sheetId="4" name="Data" state="visible" r:id="rId6"/>
    <sheet sheetId="5" name="Cheats" state="visible" r:id="rId7"/>
    <sheet sheetId="6" name="Scratchpad" state="visible" r:id="rId8"/>
  </sheets>
  <definedNames/>
  <calcPr/>
</workbook>
</file>

<file path=xl/sharedStrings.xml><?xml version="1.0" encoding="utf-8"?>
<sst xmlns="http://schemas.openxmlformats.org/spreadsheetml/2006/main" count="787" uniqueCount="258">
  <si>
    <t>Current</t>
  </si>
  <si>
    <t>Current lag</t>
  </si>
  <si>
    <t>Comment</t>
  </si>
  <si>
    <t>Team 123 old</t>
  </si>
  <si>
    <t>Team 123 old lag</t>
  </si>
  <si>
    <t>1 start (snow)</t>
  </si>
  <si>
    <t>1 end</t>
  </si>
  <si>
    <t>2 start (factory 1)</t>
  </si>
  <si>
    <t>2 end</t>
  </si>
  <si>
    <t>3 start (factory 2)</t>
  </si>
  <si>
    <t>3 end</t>
  </si>
  <si>
    <t>4 start (sentinel boss)</t>
  </si>
  <si>
    <t>4 end</t>
  </si>
  <si>
    <t>5 start (factory 3)</t>
  </si>
  <si>
    <t>5 end</t>
  </si>
  <si>
    <t>6 start (space base 1)</t>
  </si>
  <si>
    <t>6 end</t>
  </si>
  <si>
    <t>7 start (space base 2)</t>
  </si>
  <si>
    <t>7 end</t>
  </si>
  <si>
    <t>8 start (falling level)</t>
  </si>
  <si>
    <t>8 end</t>
  </si>
  <si>
    <t>9 start (Exodus boss)</t>
  </si>
  <si>
    <t>9 end</t>
  </si>
  <si>
    <t>10 start (Magneto boss)</t>
  </si>
  <si>
    <t>10 end</t>
  </si>
  <si>
    <t>11 start (pyramid + Tusk)</t>
  </si>
  <si>
    <t>11 end</t>
  </si>
  <si>
    <t>12 start (inside pyramid)</t>
  </si>
  <si>
    <t>12 end</t>
  </si>
  <si>
    <t>13 start (Apocalyse boss)</t>
  </si>
  <si>
    <t>13 end</t>
  </si>
  <si>
    <t>14 start (jungle 1)</t>
  </si>
  <si>
    <t>14 end</t>
  </si>
  <si>
    <t>15 start (jungle 2)</t>
  </si>
  <si>
    <t>15 end</t>
  </si>
  <si>
    <t>16 start (purple base 1)</t>
  </si>
  <si>
    <t>16 end</t>
  </si>
  <si>
    <t>17 start (purple base 2)</t>
  </si>
  <si>
    <t>17 end</t>
  </si>
  <si>
    <t>18 start (transformer boss)</t>
  </si>
  <si>
    <t>18 end</t>
  </si>
  <si>
    <t>19 start (yellow base)</t>
  </si>
  <si>
    <t>19 end</t>
  </si>
  <si>
    <t>20 start (elevator + Deathbird)</t>
  </si>
  <si>
    <t>20 end</t>
  </si>
  <si>
    <t>21 start (blue base)</t>
  </si>
  <si>
    <t>21 end</t>
  </si>
  <si>
    <t>22 start (green base)</t>
  </si>
  <si>
    <t>22 end</t>
  </si>
  <si>
    <t>23 start (final boss + clones)</t>
  </si>
  <si>
    <t>23 end</t>
  </si>
  <si>
    <t>Measuring point</t>
  </si>
  <si>
    <t>/*-</t>
  </si>
  <si>
    <t>/*- lag</t>
  </si>
  <si>
    <t>various</t>
  </si>
  <si>
    <t>various lag</t>
  </si>
  <si>
    <t>redo</t>
  </si>
  <si>
    <t>redo lag</t>
  </si>
  <si>
    <t>Sec 1</t>
  </si>
  <si>
    <t>Sec 1 lag</t>
  </si>
  <si>
    <t>Sec 2</t>
  </si>
  <si>
    <t>Sec 2 lag</t>
  </si>
  <si>
    <t>Sec 3</t>
  </si>
  <si>
    <t>Sec 3 lag</t>
  </si>
  <si>
    <t>pre-redo</t>
  </si>
  <si>
    <t>p-rd lag</t>
  </si>
  <si>
    <t>sec</t>
  </si>
  <si>
    <t>sec lag</t>
  </si>
  <si>
    <t>This sheet is static. Don't change anything.</t>
  </si>
  <si>
    <t>Stage Start = The first frame that isnt pitch black.</t>
  </si>
  <si>
    <t>Stage End = The first frame that IS pitch black when the screen fades out.</t>
  </si>
  <si>
    <t>Glitches</t>
  </si>
  <si>
    <t>useful (where)</t>
  </si>
  <si>
    <t>Stomps and downward attacks have high acceleration but lower max speed. Stop the stomp and fall normally after you reach the stomp speed cap.</t>
  </si>
  <si>
    <t>Nightcrawlers jump kick.</t>
  </si>
  <si>
    <t>Data (weapon damages, travel speeds)</t>
  </si>
  <si>
    <t>Attack</t>
  </si>
  <si>
    <t>Damage</t>
  </si>
  <si>
    <t>Notes</t>
  </si>
  <si>
    <t>Beast</t>
  </si>
  <si>
    <t>Ground pound</t>
  </si>
  <si>
    <t>Ground pound projectile (yellow health)</t>
  </si>
  <si>
    <t>All other attacks </t>
  </si>
  <si>
    <t>Nightcrawler</t>
  </si>
  <si>
    <t>Teleport with yellow health</t>
  </si>
  <si>
    <t>can hit twice</t>
  </si>
  <si>
    <t>Regardless of charged/uncharged, charge only determines length traveled.</t>
  </si>
  <si>
    <t>Teleport without yellow health</t>
  </si>
  <si>
    <t>All other attacks</t>
  </si>
  <si>
    <t>Wolverine</t>
  </si>
  <si>
    <t>Lunge with yellow health</t>
  </si>
  <si>
    <t>Cyclops/Gambit</t>
  </si>
  <si>
    <t>Charged laser/card with yellow health</t>
  </si>
  <si>
    <t>Uncharged laser/card with yellow health</t>
  </si>
  <si>
    <t>Charged laser/card without yellow health</t>
  </si>
  <si>
    <t>Uncharged laser/card without yellow health</t>
  </si>
  <si>
    <t>Psylocke</t>
  </si>
  <si>
    <t>Energy punch with yellow health</t>
  </si>
  <si>
    <t>'4</t>
  </si>
  <si>
    <t>Second hit depends on enemy invulnerability length</t>
  </si>
  <si>
    <t>Energy punch without yellow health</t>
  </si>
  <si>
    <t>'2</t>
  </si>
  <si>
    <t>A-punch only hits biological enemies.</t>
  </si>
  <si>
    <t>Magneto</t>
  </si>
  <si>
    <t>Energy ball with yellow health</t>
  </si>
  <si>
    <t>Energy ball without yellow health</t>
  </si>
  <si>
    <t>Small shots</t>
  </si>
  <si>
    <t>Horizontal movement</t>
  </si>
  <si>
    <t>Speed</t>
  </si>
  <si>
    <t>Acceleration</t>
  </si>
  <si>
    <t>Deceleration</t>
  </si>
  <si>
    <t>General</t>
  </si>
  <si>
    <t>acceleration on ground</t>
  </si>
  <si>
    <t>'0:80</t>
  </si>
  <si>
    <t>max speed on ground</t>
  </si>
  <si>
    <t>'3:132</t>
  </si>
  <si>
    <t>max speed in air</t>
  </si>
  <si>
    <t>'2:226</t>
  </si>
  <si>
    <t>acceleration in air</t>
  </si>
  <si>
    <t>instant?</t>
  </si>
  <si>
    <t>roll move</t>
  </si>
  <si>
    <t>'6:0</t>
  </si>
  <si>
    <t>'4:20</t>
  </si>
  <si>
    <t>'2:156</t>
  </si>
  <si>
    <t>max speed in somersault</t>
  </si>
  <si>
    <t>'0:128</t>
  </si>
  <si>
    <t>acceleration in somersault</t>
  </si>
  <si>
    <t>'1:0</t>
  </si>
  <si>
    <t>max speed during forward kick</t>
  </si>
  <si>
    <t>'8:252</t>
  </si>
  <si>
    <t>max speed during diagonal kick</t>
  </si>
  <si>
    <t>'7:48</t>
  </si>
  <si>
    <t>acceleration during diagonal kick</t>
  </si>
  <si>
    <t>'0:150</t>
  </si>
  <si>
    <t>'4:0</t>
  </si>
  <si>
    <t>'3:89</t>
  </si>
  <si>
    <t>'2:245</t>
  </si>
  <si>
    <t>speed during lunge from ground</t>
  </si>
  <si>
    <t>'3:150</t>
  </si>
  <si>
    <t>speed during lunge from air</t>
  </si>
  <si>
    <t>'6:68</t>
  </si>
  <si>
    <t>speed during somersault</t>
  </si>
  <si>
    <t>'2:254</t>
  </si>
  <si>
    <t>Gambit</t>
  </si>
  <si>
    <t>'3:190</t>
  </si>
  <si>
    <t>'2:206</t>
  </si>
  <si>
    <t>'8:0</t>
  </si>
  <si>
    <t>'3:140</t>
  </si>
  <si>
    <t>max speed in air (also somersault)</t>
  </si>
  <si>
    <t>'2:66</t>
  </si>
  <si>
    <t>max speed during forward punch</t>
  </si>
  <si>
    <t>'7:8</t>
  </si>
  <si>
    <t>Cyclops</t>
  </si>
  <si>
    <t>'3:110</t>
  </si>
  <si>
    <t>'5:20</t>
  </si>
  <si>
    <t>'2:194</t>
  </si>
  <si>
    <t>'0:200</t>
  </si>
  <si>
    <t>Vertical movement</t>
  </si>
  <si>
    <t>Gravity</t>
  </si>
  <si>
    <t>'0:81</t>
  </si>
  <si>
    <t>Nightcrawler, Psylocke, Beast</t>
  </si>
  <si>
    <t>'0:70</t>
  </si>
  <si>
    <t>Wolverine, Gambit, Cyclops</t>
  </si>
  <si>
    <t>'0:35</t>
  </si>
  <si>
    <t>Deacceleration in air (no direction pressed)</t>
  </si>
  <si>
    <t>'0:64</t>
  </si>
  <si>
    <t>Everyone except Magneto</t>
  </si>
  <si>
    <t>instant</t>
  </si>
  <si>
    <t>Max fall speed</t>
  </si>
  <si>
    <t>'16:0</t>
  </si>
  <si>
    <t>Everyone except Nightcrawler</t>
  </si>
  <si>
    <t>'18:0</t>
  </si>
  <si>
    <t>Max downspeed during stomp</t>
  </si>
  <si>
    <t>'8:96</t>
  </si>
  <si>
    <t>Acceleration during stomp</t>
  </si>
  <si>
    <t>'0:180</t>
  </si>
  <si>
    <t>Max downspeed during diagonal kick</t>
  </si>
  <si>
    <t>Acceleration during stomp/diagonal kick</t>
  </si>
  <si>
    <t>Acceleration during bugged fall</t>
  </si>
  <si>
    <t>'1:94</t>
  </si>
  <si>
    <t>Max downspeed during downwards attack</t>
  </si>
  <si>
    <t>Acceleration during downwards attack</t>
  </si>
  <si>
    <t>Character</t>
  </si>
  <si>
    <t>Jump initial speed</t>
  </si>
  <si>
    <t>Max downspeed</t>
  </si>
  <si>
    <t>'8:224</t>
  </si>
  <si>
    <t>'8:184</t>
  </si>
  <si>
    <t>'7:180</t>
  </si>
  <si>
    <t>'7:159</t>
  </si>
  <si>
    <t>'7:156</t>
  </si>
  <si>
    <t>'6:196</t>
  </si>
  <si>
    <t>old</t>
  </si>
  <si>
    <t>diff</t>
  </si>
  <si>
    <t>new</t>
  </si>
  <si>
    <t>imp</t>
  </si>
  <si>
    <t>x</t>
  </si>
  <si>
    <t>start</t>
  </si>
  <si>
    <t>ledge 1, R</t>
  </si>
  <si>
    <t>&gt;3166</t>
  </si>
  <si>
    <t>ledge 2, L</t>
  </si>
  <si>
    <t>&lt;583</t>
  </si>
  <si>
    <t>ledge 3, R</t>
  </si>
  <si>
    <t>&gt;2800</t>
  </si>
  <si>
    <t>||</t>
  </si>
  <si>
    <t>ledge 4, L</t>
  </si>
  <si>
    <t>|</t>
  </si>
  <si>
    <t>ledge 5, R</t>
  </si>
  <si>
    <t>upper ledge</t>
  </si>
  <si>
    <t>ledge 7, R</t>
  </si>
  <si>
    <t>upper ledge 2</t>
  </si>
  <si>
    <t>ledge 9, R</t>
  </si>
  <si>
    <t>ledge under boss</t>
  </si>
  <si>
    <t>boss hp decrease</t>
  </si>
  <si>
    <t>Max speed</t>
  </si>
  <si>
    <t>Stomp</t>
  </si>
  <si>
    <t>gambit</t>
  </si>
  <si>
    <t>Diagonal kick</t>
  </si>
  <si>
    <t>Quick drop</t>
  </si>
  <si>
    <t>Downwards attack</t>
  </si>
  <si>
    <t>'1:144</t>
  </si>
  <si>
    <t>hit 1</t>
  </si>
  <si>
    <t>hit 2</t>
  </si>
  <si>
    <t>hit 3</t>
  </si>
  <si>
    <t>hit 4</t>
  </si>
  <si>
    <t>morph start</t>
  </si>
  <si>
    <t>me</t>
  </si>
  <si>
    <t>aglar</t>
  </si>
  <si>
    <t>spin 1</t>
  </si>
  <si>
    <t>sonikk</t>
  </si>
  <si>
    <t>fast</t>
  </si>
  <si>
    <t>hit 5</t>
  </si>
  <si>
    <t>hit 6</t>
  </si>
  <si>
    <t>hit 7</t>
  </si>
  <si>
    <t>flash</t>
  </si>
  <si>
    <t>len</t>
  </si>
  <si>
    <t>newer</t>
  </si>
  <si>
    <t>kick</t>
  </si>
  <si>
    <t>tp</t>
  </si>
  <si>
    <t>??</t>
  </si>
  <si>
    <t>2pl</t>
  </si>
  <si>
    <t>2pl-1pl</t>
  </si>
  <si>
    <t>head explodes</t>
  </si>
  <si>
    <t>boss appears</t>
  </si>
  <si>
    <t>pos change</t>
  </si>
  <si>
    <t>claws change col</t>
  </si>
  <si>
    <t>Walking</t>
  </si>
  <si>
    <t>Jumping</t>
  </si>
  <si>
    <t>walking</t>
  </si>
  <si>
    <t>jumping</t>
  </si>
  <si>
    <t>somersault</t>
  </si>
  <si>
    <t>forward kick</t>
  </si>
  <si>
    <t>diagonal kick</t>
  </si>
  <si>
    <t>orthogonal teleport</t>
  </si>
  <si>
    <t>'10:0</t>
  </si>
  <si>
    <t>diagonal teleport</t>
  </si>
  <si>
    <t>'7:0</t>
  </si>
  <si>
    <t>forward punch</t>
  </si>
  <si>
    <t>'2:138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</si>
</sst>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b val="0"/>
      <i val="0"/>
      <strike val="0"/>
      <u val="none"/>
      <sz val="10.0"/>
      <color rgb="FF000000"/>
      <name val="Arial"/>
    </font>
    <font>
      <b val="0"/>
      <i/>
      <strike val="0"/>
      <u val="none"/>
      <sz val="10.0"/>
      <color rgb="FF000000"/>
      <name val="Arial"/>
    </font>
    <font>
      <b/>
      <i val="0"/>
      <strike val="0"/>
      <u val="none"/>
      <sz val="14.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
      <b/>
      <i val="0"/>
      <strike val="0"/>
      <u val="none"/>
      <sz val="10.0"/>
      <color rgb="FF000000"/>
      <name val="Arial"/>
    </font>
  </fonts>
  <fills count="24">
    <fill>
      <patternFill patternType="none"/>
    </fill>
    <fill>
      <patternFill patternType="gray125">
        <bgColor rgb="FFFFFFFF"/>
      </patternFill>
    </fill>
    <fill>
      <patternFill patternType="solid">
        <fgColor rgb="FFFFCC00"/>
        <bgColor indexed="64"/>
      </patternFill>
    </fill>
    <fill>
      <patternFill patternType="solid">
        <fgColor rgb="FFFADCB3"/>
        <bgColor indexed="64"/>
      </patternFill>
    </fill>
    <fill>
      <patternFill patternType="solid">
        <fgColor rgb="FFFFCC99"/>
        <bgColor indexed="64"/>
      </patternFill>
    </fill>
    <fill>
      <patternFill patternType="solid">
        <fgColor rgb="FFCCFFFF"/>
        <bgColor indexed="64"/>
      </patternFill>
    </fill>
    <fill>
      <patternFill patternType="solid">
        <fgColor rgb="FFFFCC99"/>
        <bgColor indexed="64"/>
      </patternFill>
    </fill>
    <fill>
      <patternFill patternType="solid">
        <fgColor rgb="FFFFFFFF"/>
        <bgColor indexed="64"/>
      </patternFill>
    </fill>
    <fill>
      <patternFill patternType="solid">
        <fgColor rgb="FFFFCC99"/>
        <bgColor indexed="64"/>
      </patternFill>
    </fill>
    <fill>
      <patternFill patternType="solid">
        <fgColor rgb="FFFFFFFF"/>
        <bgColor indexed="64"/>
      </patternFill>
    </fill>
    <fill>
      <patternFill patternType="solid">
        <fgColor rgb="FFCCFFFF"/>
        <bgColor indexed="64"/>
      </patternFill>
    </fill>
    <fill>
      <patternFill patternType="solid">
        <fgColor rgb="FFFFCC99"/>
        <bgColor indexed="64"/>
      </patternFill>
    </fill>
    <fill>
      <patternFill patternType="solid">
        <fgColor rgb="FFFFCC99"/>
        <bgColor indexed="64"/>
      </patternFill>
    </fill>
    <fill>
      <patternFill patternType="solid">
        <fgColor rgb="FFFFFFFF"/>
        <bgColor indexed="64"/>
      </patternFill>
    </fill>
    <fill>
      <patternFill patternType="solid">
        <fgColor rgb="FF808080"/>
        <bgColor indexed="64"/>
      </patternFill>
    </fill>
    <fill>
      <patternFill patternType="solid">
        <fgColor rgb="FFFFCC99"/>
        <bgColor indexed="64"/>
      </patternFill>
    </fill>
    <fill>
      <patternFill patternType="solid">
        <fgColor rgb="FFC0C0C0"/>
        <bgColor indexed="64"/>
      </patternFill>
    </fill>
    <fill>
      <patternFill patternType="solid">
        <fgColor rgb="FFFFCC99"/>
        <bgColor indexed="64"/>
      </patternFill>
    </fill>
    <fill>
      <patternFill patternType="solid">
        <fgColor rgb="FFFFCC99"/>
        <bgColor indexed="64"/>
      </patternFill>
    </fill>
    <fill>
      <patternFill patternType="solid">
        <fgColor rgb="FF00FF00"/>
        <bgColor indexed="64"/>
      </patternFill>
    </fill>
    <fill>
      <patternFill patternType="solid">
        <fgColor rgb="FFFFCC99"/>
        <bgColor indexed="64"/>
      </patternFill>
    </fill>
    <fill>
      <patternFill patternType="solid">
        <fgColor rgb="FFFF6600"/>
        <bgColor indexed="64"/>
      </patternFill>
    </fill>
    <fill>
      <patternFill patternType="solid">
        <fgColor rgb="FFFF6600"/>
        <bgColor indexed="64"/>
      </patternFill>
    </fill>
    <fill>
      <patternFill patternType="solid">
        <fgColor rgb="FFFF6600"/>
        <bgColor indexed="64"/>
      </patternFill>
    </fill>
  </fills>
  <borders count="7">
    <border>
      <left/>
      <right/>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bottom style="thin">
        <color rgb="FF000000"/>
      </bottom>
      <diagonal/>
    </border>
    <border>
      <left/>
      <right/>
      <top style="thin">
        <color rgb="FF000000"/>
      </top>
      <bottom/>
      <diagonal/>
    </border>
  </borders>
  <cellStyleXfs count="1">
    <xf fillId="0" numFmtId="0" borderId="0" fontId="0"/>
  </cellStyleXfs>
  <cellXfs count="33">
    <xf applyAlignment="1" fillId="0" xfId="0" numFmtId="0" borderId="0" fontId="0">
      <alignment vertical="bottom" horizontal="general" wrapText="1"/>
    </xf>
    <xf applyAlignment="1" fillId="0" xfId="0" numFmtId="0" borderId="0" fontId="0">
      <alignment vertical="bottom" horizontal="left" wrapText="1"/>
    </xf>
    <xf applyAlignment="1" fillId="2" xfId="0" numFmtId="0" borderId="0" fontId="0" applyFill="1">
      <alignment vertical="bottom" horizontal="center" wrapText="1"/>
    </xf>
    <xf applyBorder="1" applyAlignment="1" fillId="0" xfId="0" numFmtId="0" borderId="1" fontId="0">
      <alignment vertical="bottom" horizontal="general" wrapText="1"/>
    </xf>
    <xf applyAlignment="1" fillId="0" xfId="0" numFmtId="0" borderId="0" applyFont="1" fontId="1">
      <alignment vertical="bottom" horizontal="general" wrapText="1"/>
    </xf>
    <xf applyAlignment="1" fillId="0" xfId="0" numFmtId="0" borderId="0" applyFont="1" fontId="2">
      <alignment vertical="bottom" horizontal="general" wrapText="1"/>
    </xf>
    <xf applyAlignment="1" fillId="3" xfId="0" numFmtId="0" borderId="0" fontId="0" applyFill="1">
      <alignment vertical="bottom" horizontal="general" wrapText="1"/>
    </xf>
    <xf applyAlignment="1" fillId="4" xfId="0" numFmtId="0" borderId="0" fontId="0" applyFill="1">
      <alignment vertical="bottom" horizontal="left" wrapText="1"/>
    </xf>
    <xf applyAlignment="1" fillId="5" xfId="0" numFmtId="0" borderId="0" fontId="0" applyFill="1">
      <alignment vertical="bottom" horizontal="center" wrapText="1"/>
    </xf>
    <xf applyAlignment="1" fillId="0" xfId="0" numFmtId="0" borderId="0" fontId="0">
      <alignment vertical="bottom" horizontal="center" wrapText="1"/>
    </xf>
    <xf applyBorder="1" applyAlignment="1" fillId="6" xfId="0" numFmtId="0" borderId="2" fontId="0" applyFill="1">
      <alignment vertical="bottom" horizontal="left" wrapText="1"/>
    </xf>
    <xf applyAlignment="1" fillId="0" xfId="0" numFmtId="0" borderId="0" applyFont="1" fontId="3">
      <alignment vertical="bottom" horizontal="general" wrapText="1"/>
    </xf>
    <xf applyAlignment="1" fillId="7" xfId="0" numFmtId="0" borderId="0" applyFont="1" fontId="4" applyFill="1">
      <alignment vertical="bottom" horizontal="left" wrapText="1"/>
    </xf>
    <xf applyBorder="1" applyAlignment="1" fillId="8" xfId="0" numFmtId="0" borderId="3" fontId="0" applyFill="1">
      <alignment vertical="bottom" horizontal="center" wrapText="1"/>
    </xf>
    <xf applyAlignment="1" fillId="9" xfId="0" numFmtId="0" borderId="0" fontId="0" applyFill="1">
      <alignment vertical="bottom" horizontal="left" wrapText="1"/>
    </xf>
    <xf applyAlignment="1" fillId="10" xfId="0" numFmtId="0" borderId="0" applyFont="1" fontId="5" applyFill="1">
      <alignment vertical="bottom" horizontal="center" wrapText="1"/>
    </xf>
    <xf applyBorder="1" applyAlignment="1" fillId="11" xfId="0" numFmtId="0" borderId="4" fontId="0" applyFill="1">
      <alignment vertical="bottom" horizontal="left" wrapText="1"/>
    </xf>
    <xf applyAlignment="1" fillId="12" xfId="0" numFmtId="0" borderId="0" fontId="0" applyFill="1">
      <alignment vertical="bottom" horizontal="general" wrapText="1"/>
    </xf>
    <xf applyAlignment="1" fillId="13" xfId="0" numFmtId="0" borderId="0" fontId="0" applyFill="1">
      <alignment vertical="bottom" horizontal="general" wrapText="1"/>
    </xf>
    <xf applyBorder="1" applyAlignment="1" fillId="0" xfId="0" numFmtId="0" borderId="5" fontId="0">
      <alignment vertical="bottom" horizontal="general" wrapText="1"/>
    </xf>
    <xf applyAlignment="1" fillId="0" xfId="0" numFmtId="0" borderId="0" applyFont="1" fontId="6">
      <alignment vertical="bottom" horizontal="center" wrapText="1"/>
    </xf>
    <xf applyAlignment="1" fillId="14" xfId="0" numFmtId="0" borderId="0" fontId="0" applyFill="1">
      <alignment vertical="bottom" horizontal="general" wrapText="1"/>
    </xf>
    <xf applyBorder="1" applyAlignment="1" fillId="15" xfId="0" numFmtId="0" borderId="6" fontId="0" applyFill="1">
      <alignment vertical="bottom" horizontal="center" wrapText="1"/>
    </xf>
    <xf applyAlignment="1" fillId="0" xfId="0" numFmtId="0" borderId="0" fontId="0">
      <alignment vertical="bottom" horizontal="right" wrapText="1"/>
    </xf>
    <xf applyAlignment="1" fillId="16" xfId="0" numFmtId="0" borderId="0" fontId="0" applyFill="1">
      <alignment vertical="bottom" horizontal="general" wrapText="1"/>
    </xf>
    <xf applyAlignment="1" fillId="0" xfId="0" numFmtId="164" borderId="0" fontId="0" applyNumberFormat="1">
      <alignment vertical="bottom" horizontal="general" wrapText="1"/>
    </xf>
    <xf applyAlignment="1" fillId="17" xfId="0" numFmtId="0" borderId="0" applyFont="1" fontId="7" applyFill="1">
      <alignment vertical="bottom" horizontal="left" wrapText="1"/>
    </xf>
    <xf applyAlignment="1" fillId="18" xfId="0" numFmtId="0" borderId="0" applyFont="1" fontId="8" applyFill="1">
      <alignment vertical="bottom" horizontal="center" wrapText="1"/>
    </xf>
    <xf applyAlignment="1" fillId="19" xfId="0" numFmtId="0" borderId="0" fontId="0" applyFill="1">
      <alignment vertical="bottom" horizontal="center" wrapText="1"/>
    </xf>
    <xf applyAlignment="1" fillId="20" xfId="0" numFmtId="0" borderId="0" fontId="0" applyFill="1">
      <alignment vertical="bottom" horizontal="center" wrapText="1"/>
    </xf>
    <xf applyAlignment="1" fillId="21" xfId="0" numFmtId="0" borderId="0" fontId="0" applyFill="1">
      <alignment vertical="bottom" horizontal="general" wrapText="1"/>
    </xf>
    <xf applyAlignment="1" fillId="22" xfId="0" numFmtId="0" borderId="0" applyFont="1" fontId="9" applyFill="1">
      <alignment vertical="bottom" horizontal="center" wrapText="1"/>
    </xf>
    <xf applyAlignment="1" fillId="23" xfId="0" numFmtId="0" borderId="0" fontId="0" applyFill="1">
      <alignment vertical="bottom" horizontal="center" wrapText="1"/>
    </xf>
  </cellXfs>
  <cellStyles count="1">
    <cellStyle builtinId="0" name="Normal" xfId="0"/>
  </cellStyles>
  <dxfs count="3">
    <dxf>
      <fill>
        <patternFill patternType="solid">
          <bgColor rgb="FF00FF00"/>
        </patternFill>
      </fill>
    </dxf>
    <dxf>
      <fill>
        <patternFill patternType="solid">
          <bgColor rgb="FFFF0000"/>
        </patternFill>
      </fill>
    </dxf>
    <dxf>
      <fill>
        <patternFill patternType="solid">
          <bgColor rgb="FFFFFF00"/>
        </patternFill>
      </fill>
    </dxf>
  </dxf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customWidth="1" max="1" width="25.0"/>
    <col min="2" customWidth="1" max="2" width="8.86"/>
    <col min="3" customWidth="1" max="3" width="12.14"/>
    <col min="4" customWidth="1" max="4" width="7.29"/>
    <col min="5" customWidth="1" max="5" width="10.43"/>
    <col min="6" customWidth="1" max="6" width="7.29"/>
    <col min="7" customWidth="1" max="7" width="10.43"/>
    <col min="8" customWidth="1" max="8" width="7.29"/>
    <col min="9" customWidth="1" max="9" width="10.43"/>
    <col min="10" customWidth="1" max="10" width="37.57"/>
    <col min="11" customWidth="1" max="11" width="12.0"/>
    <col min="12" customWidth="1" max="12" width="15.29"/>
  </cols>
  <sheetData>
    <row r="1">
      <c s="26" r="A1"/>
      <c t="s" r="B1">
        <v>0</v>
      </c>
      <c t="s" r="C1">
        <v>1</v>
      </c>
      <c t="str" r="D1">
        <f>Frames!B1</f>
        <v>/*-</v>
      </c>
      <c t="str" r="E1">
        <f>Frames!C1</f>
        <v>/*- lag</v>
      </c>
      <c t="str" r="F1">
        <f>Frames!D1</f>
        <v>various</v>
      </c>
      <c t="str" r="G1">
        <f>Frames!E1</f>
        <v>various lag</v>
      </c>
      <c t="str" r="H1">
        <f>Frames!F1</f>
        <v>redo</v>
      </c>
      <c t="str" r="I1">
        <f>Frames!G1</f>
        <v>redo lag</v>
      </c>
      <c t="s" r="J1">
        <v>2</v>
      </c>
      <c t="s" s="9" r="K1">
        <v>3</v>
      </c>
      <c t="s" r="L1">
        <v>4</v>
      </c>
    </row>
    <row r="2">
      <c t="s" s="18" r="A2">
        <v>5</v>
      </c>
      <c r="B2">
        <v>174</v>
      </c>
      <c r="C2">
        <v>12</v>
      </c>
      <c r="D2">
        <f>Frames!H2-($B2)</f>
        <v>0</v>
      </c>
      <c r="E2">
        <f>Frames!I2-($C2)</f>
        <v>0</v>
      </c>
      <c r="F2">
        <f>Frames!J2-($B2)</f>
        <v>0</v>
      </c>
      <c r="G2">
        <f>Frames!K2-($C2)</f>
        <v>0</v>
      </c>
      <c r="H2">
        <f>Frames!L2-($B2)</f>
        <v>0</v>
      </c>
      <c r="I2">
        <f>Frames!M2-($C2)</f>
        <v>0</v>
      </c>
      <c r="K2">
        <f>Frames!Q2-($B2)</f>
        <v>225</v>
      </c>
      <c r="L2">
        <f>Frames!R2-($C2)</f>
        <v>362</v>
      </c>
    </row>
    <row r="3">
      <c t="s" s="18" r="A3">
        <v>6</v>
      </c>
      <c r="B3">
        <v>1420</v>
      </c>
      <c r="C3">
        <v>12</v>
      </c>
      <c r="D3">
        <f>Frames!H3-($B3-$B2)</f>
        <v>815</v>
      </c>
      <c r="E3">
        <f>Frames!I3-($C3-$C2)</f>
        <v>0</v>
      </c>
      <c r="F3">
        <f>Frames!J3-($B3-$B2)</f>
        <v>28</v>
      </c>
      <c r="G3">
        <f>Frames!K3-($C3-$C2)</f>
        <v>0</v>
      </c>
      <c r="H3">
        <f>Frames!L3-($B3-$B2)</f>
        <v>28</v>
      </c>
      <c r="I3">
        <f>Frames!M3-($C3-$C2)</f>
        <v>0</v>
      </c>
      <c r="K3">
        <f>Frames!Q3-($B3-$B2)</f>
        <v>-1246</v>
      </c>
      <c r="L3">
        <f>Frames!R3-($C3-$C2)</f>
        <v>0</v>
      </c>
    </row>
    <row r="4">
      <c t="s" s="18" r="A4">
        <v>7</v>
      </c>
      <c r="B4">
        <v>2537</v>
      </c>
      <c r="C4">
        <v>48</v>
      </c>
      <c r="D4">
        <f>Frames!H4-($B4-$B3)</f>
        <v>36</v>
      </c>
      <c r="E4">
        <f>Frames!I4-($C4-$C3)</f>
        <v>0</v>
      </c>
      <c r="F4">
        <f>Frames!J4-($B4-$B3)</f>
        <v>-4</v>
      </c>
      <c r="G4">
        <f>Frames!K4-($C4-$C3)</f>
        <v>0</v>
      </c>
      <c r="H4">
        <f>Frames!L4-($B4-$B3)</f>
        <v>-4</v>
      </c>
      <c r="I4">
        <f>Frames!M4-($C4-$C3)</f>
        <v>0</v>
      </c>
      <c r="K4">
        <f>Frames!Q4-($B4-$B3)</f>
        <v>-1117</v>
      </c>
      <c r="L4">
        <f>Frames!R4-($C4-$C3)</f>
        <v>-36</v>
      </c>
    </row>
    <row r="5">
      <c t="s" s="18" r="A5">
        <v>8</v>
      </c>
      <c r="B5">
        <v>5032</v>
      </c>
      <c r="C5">
        <v>48</v>
      </c>
      <c r="D5">
        <f>Frames!H5-($B5-$B4)</f>
        <v>694</v>
      </c>
      <c r="E5">
        <f>Frames!I5-($C5-$C4)</f>
        <v>0</v>
      </c>
      <c r="F5">
        <f>Frames!J5-($B5-$B4)</f>
        <v>0</v>
      </c>
      <c r="G5">
        <f>Frames!K5-($C5-$C4)</f>
        <v>0</v>
      </c>
      <c r="H5">
        <f>Frames!L5-($B5-$B4)</f>
        <v>0</v>
      </c>
      <c r="I5">
        <f>Frames!M5-($C5-$C4)</f>
        <v>0</v>
      </c>
      <c r="K5">
        <f>Frames!Q5-($B5-$B4)</f>
        <v>-2495</v>
      </c>
      <c r="L5">
        <f>Frames!R5-($C5-$C4)</f>
        <v>0</v>
      </c>
    </row>
    <row r="6">
      <c t="s" s="18" r="A6">
        <v>9</v>
      </c>
      <c r="B6">
        <v>5322</v>
      </c>
      <c r="C6">
        <v>87</v>
      </c>
      <c r="D6">
        <f>Frames!H6-($B6-$B5)</f>
        <v>0</v>
      </c>
      <c r="E6">
        <f>Frames!I6-($C6-$C5)</f>
        <v>0</v>
      </c>
      <c r="F6">
        <f>Frames!J6-($B6-$B5)</f>
        <v>0</v>
      </c>
      <c r="G6">
        <f>Frames!K6-($C6-$C5)</f>
        <v>0</v>
      </c>
      <c r="H6">
        <f>Frames!L6-($B6-$B5)</f>
        <v>0</v>
      </c>
      <c r="I6">
        <f>Frames!M6-($C6-$C5)</f>
        <v>0</v>
      </c>
      <c r="K6">
        <f>Frames!Q6-($B6-$B5)</f>
        <v>-290</v>
      </c>
      <c r="L6">
        <f>Frames!R6-($C6-$C5)</f>
        <v>-39</v>
      </c>
    </row>
    <row r="7">
      <c t="s" s="18" r="A7">
        <v>10</v>
      </c>
      <c r="B7">
        <v>7645</v>
      </c>
      <c r="C7">
        <v>87</v>
      </c>
      <c r="D7">
        <f>Frames!H7-($B7-$B6)</f>
        <v>1112</v>
      </c>
      <c r="E7">
        <f>Frames!I7-($C7-$C6)</f>
        <v>0</v>
      </c>
      <c r="F7">
        <f>Frames!J7-($B7-$B6)</f>
        <v>217</v>
      </c>
      <c r="G7">
        <f>Frames!K7-($C7-$C6)</f>
        <v>0</v>
      </c>
      <c r="H7">
        <f>Frames!L7-($B7-$B6)</f>
        <v>0</v>
      </c>
      <c r="I7">
        <f>Frames!M7-($C7-$C6)</f>
        <v>0</v>
      </c>
      <c r="K7">
        <f>Frames!Q7-($B7-$B6)</f>
        <v>-2323</v>
      </c>
      <c r="L7">
        <f>Frames!R7-($C7-$C6)</f>
        <v>0</v>
      </c>
    </row>
    <row r="8">
      <c t="s" s="18" r="A8">
        <v>11</v>
      </c>
      <c r="B8">
        <v>7908</v>
      </c>
      <c r="C8">
        <v>107</v>
      </c>
      <c r="D8">
        <f>Frames!H8-($B8-$B7)</f>
        <v>0</v>
      </c>
      <c r="E8">
        <f>Frames!I8-($C8-$C7)</f>
        <v>0</v>
      </c>
      <c r="F8">
        <f>Frames!J8-($B8-$B7)</f>
        <v>0</v>
      </c>
      <c r="G8">
        <f>Frames!K8-($C8-$C7)</f>
        <v>0</v>
      </c>
      <c r="H8">
        <f>Frames!L8-($B8-$B7)</f>
        <v>0</v>
      </c>
      <c r="I8">
        <f>Frames!M8-($C8-$C7)</f>
        <v>0</v>
      </c>
      <c r="K8">
        <f>Frames!Q8-($B8-$B7)</f>
        <v>-263</v>
      </c>
      <c r="L8">
        <f>Frames!R8-($C8-$C7)</f>
        <v>-20</v>
      </c>
    </row>
    <row r="9">
      <c t="s" s="18" r="A9">
        <v>12</v>
      </c>
      <c r="B9">
        <v>9898</v>
      </c>
      <c r="C9">
        <v>107</v>
      </c>
      <c s="19" r="D9">
        <f>Frames!H9-($B9-$B8)</f>
        <v>51</v>
      </c>
      <c s="19" r="E9">
        <f>Frames!I9-($C9-$C8)</f>
        <v>0</v>
      </c>
      <c s="19" r="F9">
        <f>Frames!J9-($B9-$B8)</f>
        <v>0</v>
      </c>
      <c s="19" r="G9">
        <f>Frames!K9-($C9-$C8)</f>
        <v>0</v>
      </c>
      <c s="19" r="H9">
        <f>Frames!L9-($B9-$B8)</f>
        <v>0</v>
      </c>
      <c s="19" r="I9">
        <f>Frames!M9-($C9-$C8)</f>
        <v>0</v>
      </c>
      <c s="19" r="K9">
        <f>Frames!Q9-($B9-$B8)</f>
        <v>-1990</v>
      </c>
      <c s="19" r="L9">
        <f>Frames!R9-($C9-$C8)</f>
        <v>0</v>
      </c>
    </row>
    <row r="10">
      <c t="s" s="18" r="A10">
        <v>13</v>
      </c>
      <c r="B10">
        <v>10043</v>
      </c>
      <c r="C10">
        <v>122</v>
      </c>
      <c s="3" r="D10">
        <f>Frames!H10-($B10-$B9)</f>
        <v>0</v>
      </c>
      <c s="3" r="E10">
        <f>Frames!I10-($C10-$C9)</f>
        <v>0</v>
      </c>
      <c s="3" r="F10">
        <f>Frames!J10-($B10-$B9)</f>
        <v>0</v>
      </c>
      <c s="3" r="G10">
        <f>Frames!K10-($C10-$C9)</f>
        <v>0</v>
      </c>
      <c s="3" r="H10">
        <f>Frames!L10-($B10-$B9)</f>
        <v>0</v>
      </c>
      <c s="3" r="I10">
        <f>Frames!M10-($C10-$C9)</f>
        <v>0</v>
      </c>
      <c s="3" r="K10">
        <f>Frames!Q10-($B10-$B9)</f>
        <v>-145</v>
      </c>
      <c s="3" r="L10">
        <f>Frames!R10-($C10-$C9)</f>
        <v>-15</v>
      </c>
    </row>
    <row r="11">
      <c t="s" s="18" r="A11">
        <v>14</v>
      </c>
      <c r="B11">
        <v>11959</v>
      </c>
      <c r="C11">
        <v>122</v>
      </c>
      <c s="19" r="D11">
        <f>Frames!H11-($B11-$B10)</f>
        <v>816</v>
      </c>
      <c s="19" r="E11">
        <f>Frames!I11-($C11-$C10)</f>
        <v>0</v>
      </c>
      <c s="19" r="F11">
        <f>Frames!J11-($B11-$B10)</f>
        <v>0</v>
      </c>
      <c s="19" r="G11">
        <f>Frames!K11-($C11-$C10)</f>
        <v>0</v>
      </c>
      <c s="19" r="H11">
        <f>Frames!L11-($B11-$B10)</f>
        <v>0</v>
      </c>
      <c s="19" r="I11">
        <f>Frames!M11-($C11-$C10)</f>
        <v>0</v>
      </c>
      <c s="19" r="K11">
        <f>Frames!Q11-($B11-$B10)</f>
        <v>-1916</v>
      </c>
      <c s="19" r="L11">
        <f>Frames!R11-($C11-$C10)</f>
        <v>0</v>
      </c>
    </row>
    <row r="12">
      <c t="s" s="18" r="A12">
        <v>15</v>
      </c>
      <c r="B12">
        <v>12227</v>
      </c>
      <c r="C12">
        <v>146</v>
      </c>
      <c s="3" r="D12">
        <f>Frames!H12-($B12-$B11)</f>
        <v>1</v>
      </c>
      <c s="3" r="E12">
        <f>Frames!I12-($C12-$C11)</f>
        <v>0</v>
      </c>
      <c s="3" r="F12">
        <f>Frames!J12-($B12-$B11)</f>
        <v>0</v>
      </c>
      <c s="3" r="G12">
        <f>Frames!K12-($C12-$C11)</f>
        <v>0</v>
      </c>
      <c s="3" r="H12">
        <f>Frames!L12-($B12-$B11)</f>
        <v>0</v>
      </c>
      <c s="3" r="I12">
        <f>Frames!M12-($C12-$C11)</f>
        <v>0</v>
      </c>
      <c s="3" r="K12">
        <f>Frames!Q12-($B12-$B11)</f>
        <v>-268</v>
      </c>
      <c s="3" r="L12">
        <f>Frames!R12-($C12-$C11)</f>
        <v>-24</v>
      </c>
    </row>
    <row r="13">
      <c t="s" s="14" r="A13">
        <v>16</v>
      </c>
      <c r="B13">
        <v>13424</v>
      </c>
      <c r="C13">
        <v>147</v>
      </c>
      <c r="D13">
        <f>Frames!H13-($B13-$B12)</f>
        <v>371</v>
      </c>
      <c r="E13">
        <f>Frames!I13-($C13-$C12)</f>
        <v>0</v>
      </c>
      <c r="F13">
        <f>Frames!J13-($B13-$B12)</f>
        <v>0</v>
      </c>
      <c r="G13">
        <f>Frames!K13-($C13-$C12)</f>
        <v>0</v>
      </c>
      <c r="H13">
        <f>Frames!L13-($B13-$B12)</f>
        <v>0</v>
      </c>
      <c r="I13">
        <f>Frames!M13-($C13-$C12)</f>
        <v>0</v>
      </c>
      <c r="K13">
        <f>Frames!Q13-($B13-$B12)</f>
        <v>-1197</v>
      </c>
      <c r="L13">
        <f>Frames!R13-($C13-$C12)</f>
        <v>-1</v>
      </c>
    </row>
    <row r="14">
      <c t="s" s="14" r="A14">
        <v>17</v>
      </c>
      <c r="B14">
        <v>13690</v>
      </c>
      <c r="C14">
        <v>166</v>
      </c>
      <c r="D14">
        <f>Frames!H14-($B14-$B13)</f>
        <v>0</v>
      </c>
      <c r="E14">
        <f>Frames!I14-($C14-$C13)</f>
        <v>0</v>
      </c>
      <c r="F14">
        <f>Frames!J14-($B14-$B13)</f>
        <v>0</v>
      </c>
      <c r="G14">
        <f>Frames!K14-($C14-$C13)</f>
        <v>0</v>
      </c>
      <c r="H14">
        <f>Frames!L14-($B14-$B13)</f>
        <v>0</v>
      </c>
      <c r="I14">
        <f>Frames!M14-($C14-$C13)</f>
        <v>0</v>
      </c>
      <c r="K14">
        <f>Frames!Q14-($B14-$B13)</f>
        <v>-266</v>
      </c>
      <c r="L14">
        <f>Frames!R14-($C14-$C13)</f>
        <v>-19</v>
      </c>
    </row>
    <row r="15">
      <c t="s" s="14" r="A15">
        <v>18</v>
      </c>
      <c r="B15">
        <v>15849</v>
      </c>
      <c r="C15">
        <v>166</v>
      </c>
      <c r="D15">
        <f>Frames!H15-($B15-$B14)</f>
        <v>898</v>
      </c>
      <c r="E15">
        <f>Frames!I15-($C15-$C14)</f>
        <v>0</v>
      </c>
      <c r="F15">
        <f>Frames!J15-($B15-$B14)</f>
        <v>46</v>
      </c>
      <c r="G15">
        <f>Frames!K15-($C15-$C14)</f>
        <v>0</v>
      </c>
      <c r="H15">
        <f>Frames!L15-($B15-$B14)</f>
        <v>0</v>
      </c>
      <c r="I15">
        <f>Frames!M15-($C15-$C14)</f>
        <v>0</v>
      </c>
      <c r="K15">
        <f>Frames!Q15-($B15-$B14)</f>
        <v>-2159</v>
      </c>
      <c r="L15">
        <f>Frames!R15-($C15-$C14)</f>
        <v>0</v>
      </c>
    </row>
    <row r="16">
      <c t="s" s="14" r="A16">
        <v>19</v>
      </c>
      <c r="B16">
        <v>16086</v>
      </c>
      <c r="C16">
        <v>185</v>
      </c>
      <c r="D16">
        <f>Frames!H16-($B16-$B15)</f>
        <v>0</v>
      </c>
      <c r="E16">
        <f>Frames!I16-($C16-$C15)</f>
        <v>-1</v>
      </c>
      <c r="F16">
        <f>Frames!J16-($B16-$B15)</f>
        <v>0</v>
      </c>
      <c r="G16">
        <f>Frames!K16-($C16-$C15)</f>
        <v>0</v>
      </c>
      <c r="H16">
        <f>Frames!L16-($B16-$B15)</f>
        <v>0</v>
      </c>
      <c r="I16">
        <f>Frames!M16-($C16-$C15)</f>
        <v>0</v>
      </c>
      <c r="K16">
        <f>Frames!Q16-($B16-$B15)</f>
        <v>-237</v>
      </c>
      <c r="L16">
        <f>Frames!R16-($C16-$C15)</f>
        <v>-19</v>
      </c>
    </row>
    <row r="17">
      <c t="s" s="14" r="A17">
        <v>20</v>
      </c>
      <c r="B17">
        <v>18887</v>
      </c>
      <c r="C17">
        <v>185</v>
      </c>
      <c s="19" r="D17">
        <f>Frames!H17-($B17-$B16)</f>
        <v>409</v>
      </c>
      <c s="19" r="E17">
        <f>Frames!I17-($C17-$C16)</f>
        <v>0</v>
      </c>
      <c s="19" r="F17">
        <f>Frames!J17-($B17-$B16)</f>
        <v>-19174</v>
      </c>
      <c s="19" r="G17">
        <f>Frames!K17-($C17-$C16)</f>
        <v>-185</v>
      </c>
      <c s="19" r="H17">
        <f>Frames!L17-($B17-$B16)</f>
        <v>0</v>
      </c>
      <c s="19" r="I17">
        <f>Frames!M17-($C17-$C16)</f>
        <v>0</v>
      </c>
      <c s="19" r="J17"/>
      <c s="19" r="K17">
        <f>Frames!Q17-($B17-$B16)</f>
        <v>-2801</v>
      </c>
      <c s="19" r="L17">
        <f>Frames!R17-($C17-$C16)</f>
        <v>0</v>
      </c>
    </row>
    <row r="18">
      <c t="s" s="14" r="A18">
        <v>21</v>
      </c>
      <c r="B18">
        <v>19203</v>
      </c>
      <c r="C18">
        <v>204</v>
      </c>
      <c s="3" r="D18">
        <f>Frames!H18-($B18-$B17)</f>
        <v>3</v>
      </c>
      <c s="3" r="E18">
        <f>Frames!I18-($C18-$C17)</f>
        <v>0</v>
      </c>
      <c s="3" r="F18">
        <f>Frames!J18-($B18-$B17)</f>
        <v>-316</v>
      </c>
      <c s="3" r="G18">
        <f>Frames!K18-($C18-$C17)</f>
        <v>-19</v>
      </c>
      <c s="3" r="H18">
        <f>Frames!L18-($B18-$B17)</f>
        <v>0</v>
      </c>
      <c s="3" r="I18">
        <f>Frames!M18-($C18-$C17)</f>
        <v>0</v>
      </c>
      <c s="3" r="J18"/>
      <c s="3" r="K18">
        <f>Frames!Q18-($B18-$B17)</f>
        <v>-316</v>
      </c>
      <c s="3" r="L18">
        <f>Frames!R18-($C18-$C17)</f>
        <v>-19</v>
      </c>
    </row>
    <row r="19">
      <c t="s" s="14" r="A19">
        <v>22</v>
      </c>
      <c r="B19">
        <v>20283</v>
      </c>
      <c r="C19">
        <v>204</v>
      </c>
      <c r="D19">
        <f>Frames!H19-($B19-$B18)</f>
        <v>0</v>
      </c>
      <c r="E19">
        <f>Frames!I19-($C19-$C18)</f>
        <v>0</v>
      </c>
      <c r="F19">
        <f>Frames!J19-($B19-$B18)</f>
        <v>-1080</v>
      </c>
      <c r="G19">
        <f>Frames!K19-($C19-$C18)</f>
        <v>0</v>
      </c>
      <c r="H19">
        <f>Frames!L19-($B19-$B18)</f>
        <v>0</v>
      </c>
      <c r="I19">
        <f>Frames!M19-($C19-$C18)</f>
        <v>0</v>
      </c>
      <c r="K19">
        <f>Frames!Q19-($B19-$B18)</f>
        <v>-1080</v>
      </c>
      <c r="L19">
        <f>Frames!R19-($C19-$C18)</f>
        <v>0</v>
      </c>
    </row>
    <row r="20">
      <c t="s" s="14" r="A20">
        <v>23</v>
      </c>
      <c r="B20">
        <v>20544</v>
      </c>
      <c r="C20">
        <v>223</v>
      </c>
      <c r="D20">
        <f>Frames!H20-($B20-$B19)</f>
        <v>-33</v>
      </c>
      <c r="E20">
        <f>Frames!I20-($C20-$C19)</f>
        <v>0</v>
      </c>
      <c r="F20">
        <f>Frames!J20-($B20-$B19)</f>
        <v>-261</v>
      </c>
      <c r="G20">
        <f>Frames!K20-($C20-$C19)</f>
        <v>-19</v>
      </c>
      <c r="H20">
        <f>Frames!L20-($B20-$B19)</f>
        <v>0</v>
      </c>
      <c r="I20">
        <f>Frames!M20-($C20-$C19)</f>
        <v>0</v>
      </c>
      <c r="K20">
        <f>Frames!Q20-($B20-$B19)</f>
        <v>-261</v>
      </c>
      <c r="L20">
        <f>Frames!R20-($C20-$C19)</f>
        <v>-19</v>
      </c>
    </row>
    <row r="21">
      <c t="s" s="14" r="A21">
        <v>24</v>
      </c>
      <c r="B21">
        <v>22059</v>
      </c>
      <c r="C21">
        <v>223</v>
      </c>
      <c r="D21">
        <f>Frames!H21-($B21-$B20)</f>
        <v>77</v>
      </c>
      <c r="E21">
        <f>Frames!I21-($C21-$C20)</f>
        <v>0</v>
      </c>
      <c r="F21">
        <f>Frames!J21-($B21-$B20)</f>
        <v>-1515</v>
      </c>
      <c r="G21">
        <f>Frames!K21-($C21-$C20)</f>
        <v>0</v>
      </c>
      <c r="H21">
        <f>Frames!L21-($B21-$B20)</f>
        <v>0</v>
      </c>
      <c r="I21">
        <f>Frames!M21-($C21-$C20)</f>
        <v>0</v>
      </c>
    </row>
    <row r="22">
      <c t="s" s="14" r="A22">
        <v>25</v>
      </c>
      <c r="B22">
        <v>22343</v>
      </c>
      <c r="C22">
        <v>253</v>
      </c>
      <c r="D22">
        <f>Frames!H22-($B22-$B21)</f>
        <v>0</v>
      </c>
      <c r="E22">
        <f>Frames!I22-($C22-$C21)</f>
        <v>0</v>
      </c>
      <c r="F22">
        <f>Frames!J22-($B22-$B21)</f>
        <v>22083</v>
      </c>
      <c r="G22">
        <f>Frames!K22-($C22-$C21)</f>
        <v>-30</v>
      </c>
      <c r="H22">
        <f>Frames!L22-($B22-$B21)</f>
        <v>0</v>
      </c>
      <c r="I22">
        <f>Frames!M22-($C22-$C21)</f>
        <v>0</v>
      </c>
    </row>
    <row r="23">
      <c t="s" s="14" r="A23">
        <v>26</v>
      </c>
      <c r="B23">
        <v>25324</v>
      </c>
      <c r="C23">
        <v>253</v>
      </c>
      <c r="D23">
        <f>Frames!H23-($B23-$B22)</f>
        <v>978</v>
      </c>
      <c r="E23">
        <f>Frames!I23-($C23-$C22)</f>
        <v>0</v>
      </c>
      <c r="F23">
        <f>Frames!J23-($B23-$B22)</f>
        <v>103</v>
      </c>
      <c r="G23">
        <f>Frames!K23-($C23-$C22)</f>
        <v>0</v>
      </c>
      <c r="H23">
        <f>Frames!L23-($B23-$B22)</f>
        <v>31</v>
      </c>
      <c r="I23">
        <f>Frames!M23-($C23-$C22)</f>
        <v>0</v>
      </c>
    </row>
    <row r="24">
      <c t="s" s="14" r="A24">
        <v>27</v>
      </c>
      <c r="B24">
        <v>25582</v>
      </c>
      <c r="C24">
        <v>280</v>
      </c>
      <c r="D24">
        <f>Frames!H24-($B24-$B23)</f>
        <v>36</v>
      </c>
      <c r="E24">
        <f>Frames!I24-($C24-$C23)</f>
        <v>0</v>
      </c>
      <c r="F24">
        <f>Frames!J24-($B24-$B23)</f>
        <v>0</v>
      </c>
      <c r="G24">
        <f>Frames!K24-($C24-$C23)</f>
        <v>-27</v>
      </c>
      <c r="H24">
        <f>Frames!L24-($B24-$B23)</f>
        <v>0</v>
      </c>
      <c r="I24">
        <f>Frames!M24-($C24-$C23)</f>
        <v>0</v>
      </c>
    </row>
    <row r="25">
      <c t="s" s="14" r="A25">
        <v>28</v>
      </c>
      <c r="B25">
        <v>29232</v>
      </c>
      <c r="C25">
        <v>280</v>
      </c>
      <c s="19" r="D25">
        <f>Frames!H25-($B25-$B24)</f>
        <v>1540</v>
      </c>
      <c s="19" r="E25">
        <f>Frames!I25-($C25-$C24)</f>
        <v>0</v>
      </c>
      <c s="19" r="F25">
        <f>Frames!J25-($B25-$B24)</f>
        <v>-2</v>
      </c>
      <c s="19" r="G25">
        <f>Frames!K25-($C25-$C24)</f>
        <v>0</v>
      </c>
      <c s="19" r="H25">
        <f>Frames!L25-($B25-$B24)</f>
        <v>-2</v>
      </c>
      <c s="19" r="I25">
        <f>Frames!M25-($C25-$C24)</f>
        <v>0</v>
      </c>
    </row>
    <row r="26">
      <c t="s" s="14" r="A26">
        <v>29</v>
      </c>
      <c r="B26">
        <v>29495</v>
      </c>
      <c r="C26">
        <v>299</v>
      </c>
      <c s="3" r="D26">
        <f>Frames!H26-($B26-$B25)</f>
        <v>3</v>
      </c>
      <c s="3" r="E26">
        <f>Frames!I26-($C26-$C25)</f>
        <v>0</v>
      </c>
      <c s="3" r="F26">
        <f>Frames!J26-($B26-$B25)</f>
        <v>-42</v>
      </c>
      <c s="3" r="G26">
        <f>Frames!K26-($C26-$C25)</f>
        <v>-19</v>
      </c>
      <c s="3" r="H26">
        <f>Frames!L26-($B26-$B25)</f>
        <v>-1</v>
      </c>
      <c s="3" r="I26">
        <f>Frames!M26-($C26-$C25)</f>
        <v>0</v>
      </c>
    </row>
    <row r="27">
      <c t="s" s="14" r="A27">
        <v>30</v>
      </c>
      <c r="B27">
        <v>32956</v>
      </c>
      <c r="C27">
        <v>299</v>
      </c>
      <c r="D27">
        <f>Frames!H27-($B27-$B26)</f>
        <v>498</v>
      </c>
      <c r="E27">
        <f>Frames!I27-($C27-$C26)</f>
        <v>0</v>
      </c>
      <c r="F27">
        <f>Frames!J27-($B27-$B26)</f>
        <v>-752</v>
      </c>
      <c r="G27">
        <f>Frames!K27-($C27-$C26)</f>
        <v>0</v>
      </c>
      <c s="19" r="H27">
        <f>Frames!L27-($B27-$B26)</f>
        <v>0</v>
      </c>
      <c s="19" r="I27">
        <f>Frames!M27-($C27-$C26)</f>
        <v>0</v>
      </c>
    </row>
    <row r="28">
      <c t="s" s="14" r="A28">
        <v>31</v>
      </c>
      <c r="B28">
        <v>33293</v>
      </c>
      <c r="C28">
        <v>320</v>
      </c>
      <c r="D28">
        <f>Frames!H28-($B28-$B27)</f>
        <v>5</v>
      </c>
      <c r="E28">
        <f>Frames!I28-($C28-$C27)</f>
        <v>0</v>
      </c>
      <c r="F28">
        <f>Frames!J28-($B28-$B27)</f>
        <v>722</v>
      </c>
      <c r="G28">
        <f>Frames!K28-($C28-$C27)</f>
        <v>299</v>
      </c>
      <c s="3" r="H28">
        <f>Frames!L28-($B28-$B27)</f>
        <v>1</v>
      </c>
      <c s="3" r="I28">
        <f>Frames!M28-($C28-$C27)</f>
        <v>0</v>
      </c>
    </row>
    <row r="29">
      <c t="s" s="14" r="A29">
        <v>32</v>
      </c>
      <c r="B29">
        <v>34867</v>
      </c>
      <c r="C29">
        <v>322</v>
      </c>
      <c r="D29">
        <f>Frames!H29-($B29-$B28)</f>
        <v>1186</v>
      </c>
      <c r="E29">
        <f>Frames!I29-($C29-$C28)</f>
        <v>-2</v>
      </c>
      <c r="F29">
        <f>Frames!J29-($B29-$B28)</f>
        <v>122</v>
      </c>
      <c r="G29">
        <f>Frames!K29-($C29-$C28)</f>
        <v>-1</v>
      </c>
      <c s="19" r="H29">
        <f>Frames!L29-($B29-$B28)</f>
        <v>-1</v>
      </c>
      <c s="19" r="I29">
        <f>Frames!M29-($C29-$C28)</f>
        <v>0</v>
      </c>
    </row>
    <row r="30">
      <c t="s" s="14" r="A30">
        <v>33</v>
      </c>
      <c r="B30">
        <v>35160</v>
      </c>
      <c r="C30">
        <v>346</v>
      </c>
      <c r="D30">
        <f>Frames!H30-($B30-$B29)</f>
        <v>1</v>
      </c>
      <c r="E30">
        <f>Frames!I30-($C30-$C29)</f>
        <v>0</v>
      </c>
      <c r="F30">
        <f>Frames!J30-($B30-$B29)</f>
        <v>-123</v>
      </c>
      <c r="G30">
        <f>Frames!K30-($C30-$C29)</f>
        <v>1</v>
      </c>
      <c s="3" r="H30">
        <f>Frames!L30-($B30-$B29)</f>
        <v>0</v>
      </c>
      <c s="3" r="I30">
        <f>Frames!M30-($C30-$C29)</f>
        <v>0</v>
      </c>
    </row>
    <row r="31">
      <c t="s" s="14" r="A31">
        <v>34</v>
      </c>
      <c r="B31">
        <v>36102</v>
      </c>
      <c r="C31">
        <v>346</v>
      </c>
      <c r="D31">
        <f>Frames!H31-($B31-$B30)</f>
        <v>455</v>
      </c>
      <c r="E31">
        <f>Frames!I31-($C31-$C30)</f>
        <v>0</v>
      </c>
      <c r="F31">
        <f>Frames!J31-($B31-$B30)</f>
        <v>41</v>
      </c>
      <c r="G31">
        <f>Frames!K31-($C31-$C30)</f>
        <v>0</v>
      </c>
      <c s="19" r="H31">
        <f>Frames!L31-($B31-$B30)</f>
        <v>0</v>
      </c>
      <c s="19" r="I31">
        <f>Frames!M31-($C31-$C30)</f>
        <v>0</v>
      </c>
    </row>
    <row r="32">
      <c t="s" s="14" r="A32">
        <v>35</v>
      </c>
      <c r="B32">
        <v>36399</v>
      </c>
      <c r="C32">
        <v>416</v>
      </c>
      <c r="D32">
        <f>Frames!H32-($B32-$B31)</f>
        <v>3</v>
      </c>
      <c r="E32">
        <f>Frames!I32-($C32-$C31)</f>
        <v>0</v>
      </c>
      <c r="F32">
        <f>Frames!J32-($B32-$B31)</f>
        <v>-36492</v>
      </c>
      <c r="G32">
        <f>Frames!K32-($C32-$C31)</f>
        <v>-416</v>
      </c>
      <c s="3" r="H32">
        <f>Frames!L32-($B32-$B31)</f>
        <v>0</v>
      </c>
      <c s="3" r="I32">
        <f>Frames!M32-($C32-$C31)</f>
        <v>0</v>
      </c>
    </row>
    <row r="33">
      <c t="s" s="14" r="A33">
        <v>36</v>
      </c>
      <c r="B33">
        <v>37653</v>
      </c>
      <c r="C33">
        <v>416</v>
      </c>
      <c r="D33">
        <f>Frames!H33-($B33-$B32)</f>
        <v>805</v>
      </c>
      <c r="E33">
        <f>Frames!I33-($C33-$C32)</f>
        <v>0</v>
      </c>
      <c r="F33">
        <f>Frames!J33-($B33-$B32)</f>
        <v>-1254</v>
      </c>
      <c r="G33">
        <f>Frames!K33-($C33-$C32)</f>
        <v>0</v>
      </c>
      <c s="19" r="H33">
        <f>Frames!L33-($B33-$B32)</f>
        <v>0</v>
      </c>
      <c s="19" r="I33">
        <f>Frames!M33-($C33-$C32)</f>
        <v>0</v>
      </c>
    </row>
    <row r="34">
      <c t="s" s="14" r="A34">
        <v>37</v>
      </c>
      <c r="B34">
        <v>37956</v>
      </c>
      <c r="C34">
        <v>499</v>
      </c>
      <c r="D34">
        <f>Frames!H34-($B34-$B33)</f>
        <v>4</v>
      </c>
      <c r="E34">
        <f>Frames!I34-($C34-$C33)</f>
        <v>0</v>
      </c>
      <c r="F34">
        <f>Frames!J34-($B34-$B33)</f>
        <v>37705</v>
      </c>
      <c r="G34">
        <f>Frames!K34-($C34-$C33)</f>
        <v>416</v>
      </c>
      <c s="3" r="H34">
        <f>Frames!L34-($B34-$B33)</f>
        <v>0</v>
      </c>
      <c s="3" r="I34">
        <f>Frames!M34-($C34-$C33)</f>
        <v>0</v>
      </c>
    </row>
    <row r="35">
      <c t="s" s="14" r="A35">
        <v>38</v>
      </c>
      <c r="B35">
        <v>38953</v>
      </c>
      <c r="C35">
        <v>499</v>
      </c>
      <c r="D35">
        <f>Frames!H35-($B35-$B34)</f>
        <v>593</v>
      </c>
      <c r="E35">
        <f>Frames!I35-($C35-$C34)</f>
        <v>0</v>
      </c>
      <c r="F35">
        <f>Frames!J35-($B35-$B34)</f>
        <v>40</v>
      </c>
      <c r="G35">
        <f>Frames!K35-($C35-$C34)</f>
        <v>0</v>
      </c>
      <c s="19" r="H35">
        <f>Frames!L35-($B35-$B34)</f>
        <v>0</v>
      </c>
      <c s="19" r="I35">
        <f>Frames!M35-($C35-$C34)</f>
        <v>0</v>
      </c>
    </row>
    <row r="36">
      <c t="s" s="14" r="A36">
        <v>39</v>
      </c>
      <c r="B36">
        <v>39219</v>
      </c>
      <c r="C36">
        <v>521</v>
      </c>
      <c r="D36">
        <f>Frames!H36-($B36-$B35)</f>
        <v>3</v>
      </c>
      <c r="E36">
        <f>Frames!I36-($C36-$C35)</f>
        <v>0</v>
      </c>
      <c r="F36">
        <f>Frames!J36-($B36-$B35)</f>
        <v>0</v>
      </c>
      <c r="G36">
        <f>Frames!K36-($C36-$C35)</f>
        <v>0</v>
      </c>
      <c s="3" r="H36">
        <f>Frames!L36-($B36-$B35)</f>
        <v>0</v>
      </c>
      <c s="3" r="I36">
        <f>Frames!M36-($C36-$C35)</f>
        <v>0</v>
      </c>
    </row>
    <row r="37">
      <c t="s" s="14" r="A37">
        <v>40</v>
      </c>
      <c r="B37">
        <v>40449</v>
      </c>
      <c r="C37">
        <v>521</v>
      </c>
      <c s="19" r="D37">
        <f>Frames!H37-($B37-$B36)</f>
        <v>259</v>
      </c>
      <c s="19" r="E37">
        <f>Frames!I37-($C37-$C36)</f>
        <v>0</v>
      </c>
      <c s="19" r="F37">
        <f>Frames!J37-($B37-$B36)</f>
        <v>133</v>
      </c>
      <c s="19" r="G37">
        <f>Frames!K37-($C37-$C36)</f>
        <v>0</v>
      </c>
      <c s="19" r="H37">
        <f>Frames!L37-($B37-$B36)</f>
        <v>-1</v>
      </c>
      <c s="19" r="I37">
        <f>Frames!M37-($C37-$C36)</f>
        <v>0</v>
      </c>
    </row>
    <row r="38">
      <c t="s" s="14" r="A38">
        <v>41</v>
      </c>
      <c r="B38">
        <v>40857</v>
      </c>
      <c r="C38">
        <v>586</v>
      </c>
      <c s="3" r="D38">
        <f>Frames!H38-($B38-$B37)</f>
        <v>-8</v>
      </c>
      <c s="3" r="E38">
        <f>Frames!I38-($C38-$C37)</f>
        <v>0</v>
      </c>
      <c s="3" r="F38">
        <f>Frames!J38-($B38-$B37)</f>
        <v>-174</v>
      </c>
      <c s="3" r="G38">
        <f>Frames!K38-($C38-$C37)</f>
        <v>-586</v>
      </c>
      <c s="3" r="H38">
        <f>Frames!L38-($B38-$B37)</f>
        <v>0</v>
      </c>
      <c s="3" r="I38">
        <f>Frames!M38-($C38-$C37)</f>
        <v>0</v>
      </c>
    </row>
    <row r="39">
      <c t="s" s="14" r="A39">
        <v>42</v>
      </c>
      <c r="B39">
        <v>42985</v>
      </c>
      <c r="C39">
        <v>586</v>
      </c>
      <c s="19" r="D39">
        <f>Frames!H39-($B39-$B38)</f>
        <v>1749</v>
      </c>
      <c s="19" r="E39">
        <f>Frames!I39-($C39-$C38)</f>
        <v>0</v>
      </c>
      <c s="19" r="F39">
        <f>Frames!J39-($B39-$B38)</f>
        <v>177</v>
      </c>
      <c s="19" r="G39">
        <f>Frames!K39-($C39-$C38)</f>
        <v>0</v>
      </c>
      <c s="19" r="H39">
        <f>Frames!L39-($B39-$B38)</f>
        <v>0</v>
      </c>
      <c s="19" r="I39">
        <f>Frames!M39-($C39-$C38)</f>
        <v>0</v>
      </c>
    </row>
    <row r="40">
      <c t="s" s="14" r="A40">
        <v>43</v>
      </c>
      <c r="B40">
        <v>43245</v>
      </c>
      <c r="C40">
        <v>605</v>
      </c>
      <c s="3" r="D40">
        <f>Frames!H40-($B40-$B39)</f>
        <v>-32</v>
      </c>
      <c s="3" r="E40">
        <f>Frames!I40-($C40-$C39)</f>
        <v>0</v>
      </c>
      <c s="3" r="F40">
        <f>Frames!J40-($B40-$B39)</f>
        <v>-43473</v>
      </c>
      <c s="3" r="G40">
        <f>Frames!K40-($C40-$C39)</f>
        <v>-19</v>
      </c>
      <c s="3" r="H40">
        <f>Frames!L40-($B40-$B39)</f>
        <v>-43296</v>
      </c>
      <c s="3" r="I40">
        <f>Frames!M40-($C40-$C39)</f>
        <v>-605</v>
      </c>
    </row>
    <row r="41">
      <c t="s" s="14" r="A41">
        <v>44</v>
      </c>
      <c r="B41">
        <v>51066</v>
      </c>
      <c r="C41">
        <v>605</v>
      </c>
      <c r="D41">
        <f>Frames!H41-($B41-$B40)</f>
        <v>22</v>
      </c>
      <c r="E41">
        <f>Frames!I41-($C41-$C40)</f>
        <v>0</v>
      </c>
      <c r="F41">
        <f>Frames!J41-($B41-$B40)</f>
        <v>-7821</v>
      </c>
      <c r="G41">
        <f>Frames!K41-($C41-$C40)</f>
        <v>0</v>
      </c>
      <c s="19" r="H41">
        <f>Frames!L41-($B41-$B40)</f>
        <v>-7821</v>
      </c>
      <c s="19" r="I41">
        <f>Frames!M41-($C41-$C40)</f>
        <v>0</v>
      </c>
    </row>
    <row r="42">
      <c t="s" s="14" r="A42">
        <v>45</v>
      </c>
      <c r="B42">
        <v>51357</v>
      </c>
      <c r="C42">
        <v>629</v>
      </c>
      <c r="D42">
        <f>Frames!H42-($B42-$B41)</f>
        <v>3</v>
      </c>
      <c r="E42">
        <f>Frames!I42-($C42-$C41)</f>
        <v>0</v>
      </c>
      <c r="F42">
        <f>Frames!J42-($B42-$B41)</f>
        <v>-291</v>
      </c>
      <c r="G42">
        <f>Frames!K42-($C42-$C41)</f>
        <v>-24</v>
      </c>
      <c s="3" r="H42">
        <f>Frames!L42-($B42-$B41)</f>
        <v>-291</v>
      </c>
      <c s="3" r="I42">
        <f>Frames!M42-($C42-$C41)</f>
        <v>-24</v>
      </c>
    </row>
    <row r="43">
      <c t="s" s="14" r="A43">
        <v>46</v>
      </c>
      <c r="B43">
        <v>53609</v>
      </c>
      <c r="C43">
        <v>630</v>
      </c>
      <c r="D43">
        <f>Frames!H43-($B43-$B42)</f>
        <v>1295</v>
      </c>
      <c r="E43">
        <f>Frames!I43-($C43-$C42)</f>
        <v>-1</v>
      </c>
      <c r="F43">
        <f>Frames!J43-($B43-$B42)</f>
        <v>-2252</v>
      </c>
      <c r="G43">
        <f>Frames!K43-($C43-$C42)</f>
        <v>-1</v>
      </c>
      <c s="19" r="H43">
        <f>Frames!L43-($B43-$B42)</f>
        <v>-2252</v>
      </c>
      <c s="19" r="I43">
        <f>Frames!M43-($C43-$C42)</f>
        <v>-1</v>
      </c>
    </row>
    <row r="44">
      <c t="s" s="14" r="A44">
        <v>47</v>
      </c>
      <c r="B44">
        <v>53895</v>
      </c>
      <c r="C44">
        <v>648</v>
      </c>
      <c r="D44">
        <f>Frames!H44-($B44-$B43)</f>
        <v>1</v>
      </c>
      <c r="E44">
        <f>Frames!I44-($C44-$C43)</f>
        <v>-1</v>
      </c>
      <c r="F44">
        <f>Frames!J44-($B44-$B43)</f>
        <v>-286</v>
      </c>
      <c r="G44">
        <f>Frames!K44-($C44-$C43)</f>
        <v>-18</v>
      </c>
      <c s="3" r="H44">
        <f>Frames!L44-($B44-$B43)</f>
        <v>-286</v>
      </c>
      <c s="3" r="I44">
        <f>Frames!M44-($C44-$C43)</f>
        <v>-18</v>
      </c>
    </row>
    <row r="45">
      <c t="s" s="14" r="A45">
        <v>48</v>
      </c>
      <c r="B45">
        <v>59018</v>
      </c>
      <c r="C45">
        <v>763</v>
      </c>
      <c r="D45">
        <f>Frames!H45-($B45-$B44)</f>
        <v>1059</v>
      </c>
      <c r="E45">
        <f>Frames!I45-($C45-$C44)</f>
        <v>-3</v>
      </c>
      <c r="F45">
        <f>Frames!J45-($B45-$B44)</f>
        <v>-5123</v>
      </c>
      <c r="G45">
        <f>Frames!K45-($C45-$C44)</f>
        <v>-115</v>
      </c>
      <c s="19" r="H45">
        <f>Frames!L45-($B45-$B44)</f>
        <v>-5123</v>
      </c>
      <c s="19" r="I45">
        <f>Frames!M45-($C45-$C44)</f>
        <v>-115</v>
      </c>
    </row>
    <row r="46">
      <c t="s" s="14" r="A46">
        <v>49</v>
      </c>
      <c r="B46">
        <v>59380</v>
      </c>
      <c r="C46">
        <v>799</v>
      </c>
      <c r="D46">
        <f>Frames!H46-($B46-$B45)</f>
        <v>-25</v>
      </c>
      <c r="E46">
        <f>Frames!I46-($C46-$C45)</f>
        <v>1</v>
      </c>
      <c r="F46">
        <f>Frames!J46-($B46-$B45)</f>
        <v>-362</v>
      </c>
      <c r="G46">
        <f>Frames!K46-($C46-$C45)</f>
        <v>-36</v>
      </c>
      <c s="3" r="H46">
        <f>Frames!L46-($B46-$B45)</f>
        <v>-362</v>
      </c>
      <c s="3" r="I46">
        <f>Frames!M46-($C46-$C45)</f>
        <v>-36</v>
      </c>
    </row>
    <row r="47">
      <c t="s" s="14" r="A47">
        <v>50</v>
      </c>
      <c r="B47">
        <v>67620</v>
      </c>
      <c r="C47">
        <v>800</v>
      </c>
      <c r="D47">
        <f>Frames!H47-($B47-$B46)</f>
        <v>2634</v>
      </c>
      <c r="E47">
        <f>Frames!I47-($C47-$C46)</f>
        <v>0</v>
      </c>
      <c r="F47">
        <f>Frames!J47-($B47-$B46)</f>
        <v>-8240</v>
      </c>
      <c r="G47">
        <f>Frames!K47-($C47-$C46)</f>
        <v>-1</v>
      </c>
      <c r="H47">
        <f>Frames!L47-($B47-$B46)</f>
        <v>-8240</v>
      </c>
      <c r="I47">
        <f>Frames!M47-($C47-$C46)</f>
        <v>-1</v>
      </c>
    </row>
    <row r="48">
      <c s="7" r="A48"/>
      <c r="D48">
        <f>Frames!H48-($B48-$B47)</f>
        <v>-18317</v>
      </c>
      <c r="E48">
        <f>Frames!I48-($C48-$C47)</f>
        <v>7</v>
      </c>
      <c r="F48">
        <f>Frames!J48-($B48-$B47)</f>
        <v>67620</v>
      </c>
      <c r="G48">
        <f>Frames!K48-($C48-$C47)</f>
        <v>800</v>
      </c>
    </row>
    <row r="49">
      <c s="7" r="A49"/>
      <c r="D49">
        <f>Frames!H49-($B49-$B48)</f>
        <v>0</v>
      </c>
      <c r="E49">
        <f>Frames!I49-($C49-$C48)</f>
        <v>0</v>
      </c>
      <c r="F49">
        <f>Frames!J49-($B49-$B48)</f>
        <v>0</v>
      </c>
      <c r="G49">
        <f>Frames!K49-($C49-$C48)</f>
        <v>0</v>
      </c>
    </row>
    <row r="50">
      <c s="10" r="A50"/>
      <c s="19" r="D50">
        <f>Frames!H50-($B50-$B49)</f>
        <v>0</v>
      </c>
      <c s="19" r="E50">
        <f>Frames!I50-($C50-$C49)</f>
        <v>0</v>
      </c>
      <c s="19" r="F50">
        <f>Frames!J50-($B50-$B49)</f>
        <v>0</v>
      </c>
      <c s="19" r="G50">
        <f>Frames!K50-($C50-$C49)</f>
        <v>0</v>
      </c>
      <c s="19" r="H50"/>
      <c s="19" r="I50"/>
    </row>
    <row r="51">
      <c s="16" r="A51"/>
      <c s="3" r="D51">
        <f>Frames!H51-($B51-$B50)</f>
        <v>0</v>
      </c>
      <c s="3" r="E51">
        <f>Frames!I51-($C51-$C50)</f>
        <v>0</v>
      </c>
      <c s="3" r="F51">
        <f>Frames!J51-($B51-$B50)</f>
        <v>0</v>
      </c>
      <c s="3" r="G51">
        <f>Frames!K51-($C51-$C50)</f>
        <v>0</v>
      </c>
      <c s="3" r="H51"/>
      <c s="3" r="I51"/>
    </row>
    <row r="52">
      <c s="10" r="A52"/>
      <c s="19" r="D52">
        <f>Frames!H52-($B52-$B51)</f>
        <v>0</v>
      </c>
      <c s="19" r="E52">
        <f>Frames!I52-($C52-$C51)</f>
        <v>0</v>
      </c>
      <c s="19" r="F52">
        <f>Frames!J52-($B52-$B51)</f>
        <v>0</v>
      </c>
      <c s="19" r="G52">
        <f>Frames!K52-($C52-$C51)</f>
        <v>0</v>
      </c>
      <c s="19" r="H52"/>
      <c s="19" r="I52"/>
    </row>
    <row r="53">
      <c s="16" r="A53"/>
      <c s="3" r="D53">
        <f>Frames!H53-($B53-$B52)</f>
        <v>0</v>
      </c>
      <c s="3" r="E53">
        <f>Frames!I53-($C53-$C52)</f>
        <v>0</v>
      </c>
      <c s="3" r="F53">
        <f>Frames!J53-($B53-$B52)</f>
        <v>0</v>
      </c>
      <c s="3" r="G53">
        <f>Frames!K53-($C53-$C52)</f>
        <v>0</v>
      </c>
      <c s="3" r="H53"/>
      <c s="3" r="I53"/>
    </row>
    <row r="54">
      <c s="7" r="A54"/>
      <c r="D54">
        <f>Frames!H54-($B54-$B53)</f>
        <v>0</v>
      </c>
      <c r="E54">
        <f>Frames!I54-($C54-$C53)</f>
        <v>0</v>
      </c>
      <c r="F54">
        <f>Frames!J54-($B54-$B53)</f>
        <v>0</v>
      </c>
      <c r="G54">
        <f>Frames!K54-($C54-$C53)</f>
        <v>0</v>
      </c>
    </row>
    <row r="55">
      <c s="7" r="A55"/>
      <c r="D55">
        <f>Frames!H55-($B55-$B54)</f>
        <v>0</v>
      </c>
      <c r="E55">
        <f>Frames!I55-($C55-$C54)</f>
        <v>0</v>
      </c>
      <c r="F55">
        <f>Frames!J55-($B55-$B54)</f>
        <v>0</v>
      </c>
      <c r="G55">
        <f>Frames!K55-($C55-$C54)</f>
        <v>0</v>
      </c>
    </row>
    <row r="56">
      <c s="7" r="A56"/>
      <c r="D56">
        <f>Frames!H56-($B56-$B55)</f>
        <v>0</v>
      </c>
      <c r="E56">
        <f>Frames!I56-($C56-$C55)</f>
        <v>0</v>
      </c>
      <c r="F56">
        <f>Frames!J56-($B56-$B55)</f>
        <v>0</v>
      </c>
      <c r="G56">
        <f>Frames!K56-($C56-$C55)</f>
        <v>0</v>
      </c>
    </row>
    <row r="57">
      <c s="7" r="A57"/>
      <c r="D57">
        <f>Frames!H57-($B57-$B56)</f>
        <v>0</v>
      </c>
      <c r="E57">
        <f>Frames!I57-($C57-$C56)</f>
        <v>0</v>
      </c>
      <c r="F57">
        <f>Frames!J57-($B57-$B56)</f>
        <v>0</v>
      </c>
      <c r="G57">
        <f>Frames!K57-($C57-$C56)</f>
        <v>0</v>
      </c>
    </row>
    <row r="58">
      <c s="7" r="A58"/>
      <c r="D58">
        <f>Frames!H58-($B58-$B57)</f>
        <v>0</v>
      </c>
      <c r="E58">
        <f>Frames!I58-($C58-$C57)</f>
        <v>0</v>
      </c>
      <c r="F58">
        <f>Frames!J58-($B58-$B57)</f>
        <v>0</v>
      </c>
      <c r="G58">
        <f>Frames!K58-($C58-$C57)</f>
        <v>0</v>
      </c>
    </row>
    <row r="59">
      <c s="7" r="A59"/>
      <c r="D59">
        <f>Frames!H59-($B59-$B58)</f>
        <v>0</v>
      </c>
      <c r="E59">
        <f>Frames!I59-($C59-$C58)</f>
        <v>0</v>
      </c>
      <c r="F59">
        <f>Frames!J59-($B59-$B58)</f>
        <v>0</v>
      </c>
      <c r="G59">
        <f>Frames!K59-($C59-$C58)</f>
        <v>0</v>
      </c>
    </row>
    <row r="60">
      <c s="7" r="A60"/>
      <c r="D60">
        <f>Frames!H60-($B60-$B59)</f>
        <v>0</v>
      </c>
      <c r="E60">
        <f>Frames!I60-($C60-$C59)</f>
        <v>0</v>
      </c>
      <c r="F60">
        <f>Frames!J60-($B60-$B59)</f>
        <v>0</v>
      </c>
      <c r="G60">
        <f>Frames!K60-($C60-$C59)</f>
        <v>0</v>
      </c>
    </row>
    <row r="61">
      <c s="7" r="A61"/>
      <c r="D61">
        <f>Frames!H61-($B61-$B60)</f>
        <v>0</v>
      </c>
      <c r="E61">
        <f>Frames!I61-($C61-$C60)</f>
        <v>0</v>
      </c>
      <c r="F61">
        <f>Frames!J61-($B61-$B60)</f>
        <v>0</v>
      </c>
      <c r="G61">
        <f>Frames!K61-($C61-$C60)</f>
        <v>0</v>
      </c>
    </row>
    <row r="62">
      <c s="7" r="A62"/>
      <c r="D62">
        <f>Frames!H62-($B62-$B61)</f>
        <v>0</v>
      </c>
      <c r="E62">
        <f>Frames!I62-($C62-$C61)</f>
        <v>0</v>
      </c>
      <c r="F62">
        <f>Frames!J62-($B62-$B61)</f>
        <v>0</v>
      </c>
      <c r="G62">
        <f>Frames!K62-($C62-$C61)</f>
        <v>0</v>
      </c>
    </row>
    <row r="63">
      <c s="7" r="A63"/>
      <c r="D63">
        <f>Frames!H63-($B63-$B62)</f>
        <v>0</v>
      </c>
      <c r="E63">
        <f>Frames!I63-($C63-$C62)</f>
        <v>0</v>
      </c>
      <c r="F63">
        <f>Frames!J63-($B63-$B62)</f>
        <v>0</v>
      </c>
      <c r="G63">
        <f>Frames!K63-($C63-$C62)</f>
        <v>0</v>
      </c>
    </row>
    <row r="64">
      <c s="7" r="A64"/>
      <c r="D64">
        <f>Frames!H64-($B64-$B63)</f>
        <v>0</v>
      </c>
      <c r="E64">
        <f>Frames!I64-($C64-$C63)</f>
        <v>0</v>
      </c>
      <c r="F64">
        <f>Frames!J64-($B64-$B63)</f>
        <v>0</v>
      </c>
      <c r="G64">
        <f>Frames!K64-($C64-$C63)</f>
        <v>0</v>
      </c>
    </row>
    <row r="65">
      <c s="10" r="A65"/>
      <c s="19" r="D65">
        <f>Frames!H65-($B65-$B64)</f>
        <v>0</v>
      </c>
      <c s="19" r="E65">
        <f>Frames!I65-($C65-$C64)</f>
        <v>0</v>
      </c>
      <c s="19" r="F65">
        <f>Frames!J65-($B65-$B64)</f>
        <v>0</v>
      </c>
      <c s="19" r="G65">
        <f>Frames!K65-($C65-$C64)</f>
        <v>0</v>
      </c>
      <c s="19" r="H65"/>
      <c s="19" r="I65"/>
    </row>
    <row r="66">
      <c s="16" r="A66"/>
      <c s="3" r="D66">
        <f>Frames!H66-($B66-$B65)</f>
        <v>0</v>
      </c>
      <c s="3" r="E66">
        <f>Frames!I66-($C66-$C65)</f>
        <v>0</v>
      </c>
      <c s="3" r="F66">
        <f>Frames!J66-($B66-$B65)</f>
        <v>0</v>
      </c>
      <c s="3" r="G66">
        <f>Frames!K66-($C66-$C65)</f>
        <v>0</v>
      </c>
      <c s="3" r="H66"/>
      <c s="3" r="I66"/>
    </row>
    <row r="67">
      <c s="7" r="A67"/>
      <c r="D67">
        <f>Frames!H67-($B67-$B66)</f>
        <v>0</v>
      </c>
      <c r="E67">
        <f>Frames!I67-($C67-$C66)</f>
        <v>0</v>
      </c>
      <c r="F67">
        <f>Frames!J67-($B67-$B66)</f>
        <v>0</v>
      </c>
      <c r="G67">
        <f>Frames!K67-($C67-$C66)</f>
        <v>0</v>
      </c>
    </row>
    <row r="68">
      <c s="7" r="A68"/>
      <c r="D68">
        <f>Frames!H68-($B68-$B67)</f>
        <v>0</v>
      </c>
      <c r="E68">
        <f>Frames!I68-($C68-$C67)</f>
        <v>0</v>
      </c>
      <c r="F68">
        <f>Frames!J68-($B68-$B67)</f>
        <v>0</v>
      </c>
      <c r="G68">
        <f>Frames!K68-($C68-$C67)</f>
        <v>0</v>
      </c>
    </row>
    <row r="69">
      <c s="10" r="A69"/>
      <c s="19" r="D69">
        <f>Frames!H69-($B69-$B68)</f>
        <v>0</v>
      </c>
      <c s="19" r="E69">
        <f>Frames!I69-($C69-$C68)</f>
        <v>0</v>
      </c>
      <c s="19" r="F69">
        <f>Frames!J69-($B69-$B68)</f>
        <v>0</v>
      </c>
      <c s="19" r="G69">
        <f>Frames!K69-($C69-$C68)</f>
        <v>0</v>
      </c>
      <c s="19" r="H69"/>
      <c s="19" r="I69"/>
    </row>
    <row r="70">
      <c s="16" r="A70"/>
      <c s="3" r="D70">
        <f>Frames!H70-($B70-$B69)</f>
        <v>0</v>
      </c>
      <c s="3" r="E70">
        <f>Frames!I70-($C70-$C69)</f>
        <v>0</v>
      </c>
      <c s="3" r="F70">
        <f>Frames!J70-($B70-$B69)</f>
        <v>0</v>
      </c>
      <c s="3" r="G70">
        <f>Frames!K70-($C70-$C69)</f>
        <v>0</v>
      </c>
      <c s="3" r="H70"/>
      <c s="3" r="I70"/>
    </row>
    <row r="71">
      <c s="7" r="A71"/>
      <c r="D71">
        <f>Frames!H71-($B71-$B70)</f>
        <v>0</v>
      </c>
      <c r="E71">
        <f>Frames!I71-($C71-$C70)</f>
        <v>0</v>
      </c>
      <c r="F71">
        <f>Frames!J71-($B71-$B70)</f>
        <v>0</v>
      </c>
      <c r="G71">
        <f>Frames!K71-($C71-$C70)</f>
        <v>0</v>
      </c>
      <c r="K71">
        <f>Frames!Q71-($B71-$B70)</f>
        <v>335</v>
      </c>
      <c r="L71">
        <f>Frames!R71-($C71-$C70)</f>
        <v>167</v>
      </c>
    </row>
    <row r="72">
      <c s="7" r="A72"/>
      <c r="D72">
        <f>Frames!H72-($B72-$B71)</f>
        <v>0</v>
      </c>
      <c r="E72">
        <f>Frames!I72-($C72-$C71)</f>
        <v>0</v>
      </c>
      <c r="F72">
        <f>Frames!J72-($B72-$B71)</f>
        <v>0</v>
      </c>
      <c r="G72">
        <f>Frames!K72-($C72-$C71)</f>
        <v>0</v>
      </c>
      <c r="K72">
        <f>Frames!Q72-($B72-$B71)</f>
        <v>829</v>
      </c>
      <c r="L72">
        <f>Frames!R72-($C72-$C71)</f>
        <v>418</v>
      </c>
    </row>
    <row r="73">
      <c s="7" r="A73"/>
      <c r="D73">
        <f>Frames!H73-($B73-$B72)</f>
        <v>0</v>
      </c>
      <c r="E73">
        <f>Frames!I73-($C73-$C72)</f>
        <v>0</v>
      </c>
      <c r="F73">
        <f>Frames!J73-($B73-$B72)</f>
        <v>0</v>
      </c>
      <c r="G73">
        <f>Frames!K73-($C73-$C72)</f>
        <v>0</v>
      </c>
      <c r="K73">
        <f>Frames!Q73-($B73-$B72)</f>
        <v>137</v>
      </c>
      <c r="L73">
        <f>Frames!R73-($C73-$C72)</f>
        <v>73</v>
      </c>
    </row>
    <row r="74">
      <c s="7" r="A74"/>
      <c r="D74">
        <f>Frames!H74-($B74-$B73)</f>
        <v>0</v>
      </c>
      <c r="E74">
        <f>Frames!I74-($C74-$C73)</f>
        <v>0</v>
      </c>
      <c r="F74">
        <f>Frames!J74-($B74-$B73)</f>
        <v>0</v>
      </c>
      <c r="G74">
        <f>Frames!K74-($C74-$C73)</f>
        <v>0</v>
      </c>
      <c r="K74">
        <f>Frames!Q74-($B74-$B73)</f>
        <v>67</v>
      </c>
      <c r="L74">
        <f>Frames!R74-($C74-$C73)</f>
        <v>39</v>
      </c>
    </row>
    <row r="75">
      <c s="7" r="A75"/>
      <c r="D75">
        <f>Frames!H75-($B75-$B74)</f>
        <v>0</v>
      </c>
      <c r="E75">
        <f>Frames!I75-($C75-$C74)</f>
        <v>0</v>
      </c>
      <c r="F75">
        <f>Frames!J75-($B75-$B74)</f>
        <v>0</v>
      </c>
      <c r="G75">
        <f>Frames!K75-($C75-$C74)</f>
        <v>0</v>
      </c>
      <c r="K75">
        <f>Frames!Q75-($B75-$B74)</f>
        <v>88</v>
      </c>
      <c r="L75">
        <f>Frames!R75-($C75-$C74)</f>
        <v>52</v>
      </c>
    </row>
    <row r="76">
      <c s="7" r="A76"/>
      <c r="D76">
        <f>Frames!H76-($B76-$B75)</f>
        <v>0</v>
      </c>
      <c r="E76">
        <f>Frames!I76-($C76-$C75)</f>
        <v>0</v>
      </c>
      <c r="F76">
        <f>Frames!J76-($B76-$B75)</f>
        <v>0</v>
      </c>
      <c r="G76">
        <f>Frames!K76-($C76-$C75)</f>
        <v>0</v>
      </c>
      <c r="K76">
        <f>Frames!Q76-($B76-$B75)</f>
        <v>390</v>
      </c>
      <c r="L76">
        <f>Frames!R76-($C76-$C75)</f>
        <v>202</v>
      </c>
    </row>
    <row r="77">
      <c s="7" r="A77"/>
      <c r="D77">
        <f>Frames!H77-($B77-$B76)</f>
        <v>0</v>
      </c>
      <c r="E77">
        <f>Frames!I77-($C77-$C76)</f>
        <v>0</v>
      </c>
      <c r="F77">
        <f>Frames!J77-($B77-$B76)</f>
        <v>0</v>
      </c>
      <c r="G77">
        <f>Frames!K77-($C77-$C76)</f>
        <v>0</v>
      </c>
      <c r="K77">
        <f>Frames!Q77-($B77-$B76)</f>
        <v>242</v>
      </c>
      <c r="L77">
        <f>Frames!R77-($C77-$C76)</f>
        <v>130</v>
      </c>
    </row>
    <row r="78">
      <c s="7" r="A78"/>
      <c r="D78">
        <f>Frames!H78-($B78-$B77)</f>
        <v>0</v>
      </c>
      <c r="E78">
        <f>Frames!I78-($C78-$C77)</f>
        <v>0</v>
      </c>
      <c r="F78">
        <f>Frames!J78-($B78-$B77)</f>
        <v>0</v>
      </c>
      <c r="G78">
        <f>Frames!K78-($C78-$C77)</f>
        <v>0</v>
      </c>
      <c r="K78">
        <f>Frames!Q78-($B78-$B77)</f>
        <v>59</v>
      </c>
      <c r="L78">
        <f>Frames!R78-($C78-$C77)</f>
        <v>39</v>
      </c>
    </row>
    <row r="79">
      <c s="7" r="A79"/>
      <c r="D79">
        <f>Frames!H79-($B79-$B78)</f>
        <v>0</v>
      </c>
      <c r="E79">
        <f>Frames!I79-($C79-$C78)</f>
        <v>0</v>
      </c>
      <c r="F79">
        <f>Frames!J79-($B79-$B78)</f>
        <v>0</v>
      </c>
      <c r="G79">
        <f>Frames!K79-($C79-$C78)</f>
        <v>0</v>
      </c>
      <c r="K79">
        <f>Frames!Q79-($B79-$B78)</f>
        <v>49</v>
      </c>
      <c r="L79">
        <f>Frames!R79-($C79-$C78)</f>
        <v>29</v>
      </c>
    </row>
    <row r="80">
      <c s="7" r="A80"/>
      <c r="D80">
        <f>Frames!H80-($B80-$B79)</f>
        <v>0</v>
      </c>
      <c r="E80">
        <f>Frames!I80-($C80-$C79)</f>
        <v>0</v>
      </c>
      <c r="F80">
        <f>Frames!J80-($B80-$B79)</f>
        <v>0</v>
      </c>
      <c r="G80">
        <f>Frames!K80-($C80-$C79)</f>
        <v>0</v>
      </c>
      <c r="K80">
        <f>Frames!Q80-($B80-$B79)</f>
        <v>105</v>
      </c>
      <c r="L80">
        <f>Frames!R80-($C80-$C79)</f>
        <v>57</v>
      </c>
    </row>
    <row r="81">
      <c s="7" r="A81"/>
      <c r="D81">
        <f>Frames!H81-($B81-$B80)</f>
        <v>0</v>
      </c>
      <c r="E81">
        <f>Frames!I81-($C81-$C80)</f>
        <v>0</v>
      </c>
      <c r="F81">
        <f>Frames!J81-($B81-$B80)</f>
        <v>0</v>
      </c>
      <c r="G81">
        <f>Frames!K81-($C81-$C80)</f>
        <v>0</v>
      </c>
      <c r="K81">
        <f>Frames!Q81-($B81-$B80)</f>
        <v>269</v>
      </c>
      <c r="L81">
        <f>Frames!R81-($C81-$C80)</f>
        <v>141</v>
      </c>
    </row>
    <row r="82">
      <c s="7" r="A82"/>
      <c r="D82">
        <f>Frames!H82-($B82-$B81)</f>
        <v>0</v>
      </c>
      <c r="E82">
        <f>Frames!I82-($C82-$C81)</f>
        <v>0</v>
      </c>
      <c r="F82">
        <f>Frames!J82-($B82-$B81)</f>
        <v>0</v>
      </c>
      <c r="G82">
        <f>Frames!K82-($C82-$C81)</f>
        <v>0</v>
      </c>
      <c r="K82">
        <f>Frames!Q82-($B82-$B81)</f>
        <v>49</v>
      </c>
      <c r="L82">
        <f>Frames!R82-($C82-$C81)</f>
        <v>25</v>
      </c>
    </row>
    <row r="83">
      <c s="7" r="A83"/>
      <c r="D83">
        <f>Frames!H83-($B83-$B82)</f>
        <v>0</v>
      </c>
      <c r="E83">
        <f>Frames!I83-($C83-$C82)</f>
        <v>0</v>
      </c>
      <c r="F83">
        <f>Frames!J83-($B83-$B82)</f>
        <v>0</v>
      </c>
      <c r="G83">
        <f>Frames!K83-($C83-$C82)</f>
        <v>0</v>
      </c>
      <c r="K83">
        <f>Frames!Q83-($B83-$B82)</f>
        <v>109</v>
      </c>
      <c r="L83">
        <f>Frames!R83-($C83-$C82)</f>
        <v>65</v>
      </c>
    </row>
    <row r="84">
      <c s="7" r="A84"/>
      <c r="D84">
        <f>Frames!H84-($B84-$B83)</f>
        <v>0</v>
      </c>
      <c r="E84">
        <f>Frames!I84-($C84-$C83)</f>
        <v>0</v>
      </c>
      <c r="F84">
        <f>Frames!J84-($B84-$B83)</f>
        <v>0</v>
      </c>
      <c r="G84">
        <f>Frames!K84-($C84-$C83)</f>
        <v>0</v>
      </c>
      <c r="K84">
        <f>Frames!Q84-($B84-$B83)</f>
        <v>31</v>
      </c>
      <c r="L84">
        <f>Frames!R84-($C84-$C83)</f>
        <v>19</v>
      </c>
    </row>
    <row r="85">
      <c s="7" r="A85"/>
      <c r="D85">
        <f>Frames!H85-($B85-$B84)</f>
        <v>0</v>
      </c>
      <c r="E85">
        <f>Frames!I85-($C85-$C84)</f>
        <v>0</v>
      </c>
      <c r="F85">
        <f>Frames!J85-($B85-$B84)</f>
        <v>0</v>
      </c>
      <c r="G85">
        <f>Frames!K85-($C85-$C84)</f>
        <v>0</v>
      </c>
      <c r="K85">
        <f>Frames!Q85-($B85-$B84)</f>
        <v>21</v>
      </c>
      <c r="L85">
        <f>Frames!R85-($C85-$C84)</f>
        <v>13</v>
      </c>
    </row>
    <row r="86">
      <c s="7" r="A86"/>
      <c r="D86">
        <f>Frames!H86-($B86-$B85)</f>
        <v>0</v>
      </c>
      <c r="E86">
        <f>Frames!I86-($C86-$C85)</f>
        <v>0</v>
      </c>
      <c r="F86">
        <f>Frames!J86-($B86-$B85)</f>
        <v>0</v>
      </c>
      <c r="G86">
        <f>Frames!K86-($C86-$C85)</f>
        <v>0</v>
      </c>
    </row>
    <row r="87">
      <c s="7" r="A87"/>
      <c r="D87">
        <f>Frames!H87-($B87-$B86)</f>
        <v>0</v>
      </c>
      <c r="E87">
        <f>Frames!I87-($C87-$C86)</f>
        <v>0</v>
      </c>
      <c r="F87">
        <f>Frames!J87-($B87-$B86)</f>
        <v>0</v>
      </c>
      <c r="G87">
        <f>Frames!K87-($C87-$C86)</f>
        <v>0</v>
      </c>
    </row>
    <row r="88">
      <c s="7" r="A88"/>
      <c r="D88">
        <f>Frames!H88-($B88-$B87)</f>
        <v>0</v>
      </c>
      <c r="E88">
        <f>Frames!I88-($C88-$C87)</f>
        <v>0</v>
      </c>
      <c r="F88">
        <f>Frames!J88-($B88-$B87)</f>
        <v>0</v>
      </c>
      <c r="G88">
        <f>Frames!K88-($C88-$C87)</f>
        <v>0</v>
      </c>
    </row>
    <row r="89">
      <c s="10" r="A89"/>
      <c s="19" r="D89">
        <f>Frames!H89-($B89-$B88)</f>
        <v>0</v>
      </c>
      <c s="19" r="E89">
        <f>Frames!I89-($C89-$C88)</f>
        <v>0</v>
      </c>
      <c s="19" r="F89">
        <f>Frames!J89-($B89-$B88)</f>
        <v>0</v>
      </c>
      <c s="19" r="G89">
        <f>Frames!K89-($C89-$C88)</f>
        <v>0</v>
      </c>
      <c s="19" r="H89"/>
      <c s="19" r="I89"/>
    </row>
    <row r="90">
      <c s="16" r="A90"/>
      <c s="3" r="D90">
        <f>Frames!H90-($B90-$B89)</f>
        <v>0</v>
      </c>
      <c s="3" r="E90">
        <f>Frames!I90-($C90-$C89)</f>
        <v>0</v>
      </c>
      <c s="3" r="F90">
        <f>Frames!J90-($B90-$B89)</f>
        <v>0</v>
      </c>
      <c s="3" r="G90">
        <f>Frames!K90-($C90-$C89)</f>
        <v>0</v>
      </c>
      <c s="3" r="H90"/>
      <c s="3" r="I90"/>
    </row>
    <row r="91">
      <c s="7" r="A91"/>
      <c r="D91">
        <f>Frames!H91-($B91-$B90)</f>
        <v>0</v>
      </c>
      <c r="E91">
        <f>Frames!I91-($C91-$C90)</f>
        <v>0</v>
      </c>
      <c r="F91">
        <f>Frames!J91-($B91-$B90)</f>
        <v>0</v>
      </c>
      <c r="G91">
        <f>Frames!K91-($C91-$C90)</f>
        <v>0</v>
      </c>
    </row>
    <row r="92">
      <c s="7" r="A92"/>
      <c r="D92">
        <f>Frames!H92-($B92-$B91)</f>
        <v>0</v>
      </c>
      <c r="E92">
        <f>Frames!I92-($C92-$C91)</f>
        <v>0</v>
      </c>
      <c r="F92">
        <f>Frames!J92-($B92-$B91)</f>
        <v>0</v>
      </c>
      <c r="G92">
        <f>Frames!K92-($C92-$C91)</f>
        <v>0</v>
      </c>
    </row>
    <row r="93">
      <c s="7" r="A93"/>
      <c r="D93">
        <f>Frames!H93-($B93-$B92)</f>
        <v>0</v>
      </c>
      <c r="E93">
        <f>Frames!I93-($C93-$C92)</f>
        <v>0</v>
      </c>
      <c r="F93">
        <f>Frames!J93-($B93-$B92)</f>
        <v>0</v>
      </c>
      <c r="G93">
        <f>Frames!K93-($C93-$C92)</f>
        <v>0</v>
      </c>
    </row>
    <row r="94">
      <c s="7" r="A94"/>
    </row>
    <row r="95">
      <c s="7" r="A95"/>
    </row>
    <row r="96">
      <c s="7" r="A96"/>
    </row>
    <row r="97">
      <c s="7" r="A97"/>
    </row>
    <row r="98">
      <c s="7" r="A98"/>
    </row>
    <row r="99">
      <c s="7" r="A99"/>
    </row>
    <row r="100">
      <c s="7" r="A100"/>
    </row>
  </sheetData>
  <conditionalFormatting sqref="D1 E1 F1 G1 H1 I1 D2 E2 F2 G2 H2 I2 K2 L2 D3 E3 F3 G3 H3 I3 K3 L3 D4 E4 F4 G4 H4 I4 K4 L4 D5 E5 F5 G5 H5 I5 K5 L5 D6 E6 F6 G6 H6 I6 K6 L6 D7 E7 F7 G7 H7 I7 K7 L7 D8 E8 F8 G8 H8 I8 K8 L8 D9 E9 F9 G9 H9 I9 K9 L9 D10 E10 F10 G10 H10 I10 K10 L10 D11 E11 F11 G11 H11 I11 K11 L11 D12 E12 F12 G12 H12 I12 K12 L12 D13 E13 F13 G13 H13 I13 K13 L13 D14 E14 F14 G14 H14 I14 K14 L14 D15 E15 F15 G15 H15 I15 K15 L15 D16 E16 F16 G16 H16 I16 K16 L16 D17 E17 F17 G17 H17 I17 K17 L17 D18 E18 F18 G18 H18 I18 K18 L18 D19 E19 F19 G19 H19 I19 K19 L19 D20 E20 F20 G20 H20 I20 K20 L20 D21 E21 F21 G21 H21 I21 D22 E22 F22 G22 H22 I22 D23 E23 F23 G23 H23 I23 D24 E24 F24 G24 H24 I24 D25 E25 F25 G25 H25 I25 D26 E26 F26 G26 H26 I26 D27 E27 F27 G27 H27 I27 D28 E28 F28 G28 H28 I28 D29 E29 F29 G29 H29 I29 D30 E30 F30 G30 H30 I30 D31 E31 F31 G31 H31 I31 D32 E32 F32 G32 H32 I32 D33 E33 F33 G33 H33 I33 D34 E34 F34 G34 H34 I34 D35 E35 F35 G35 H35 I35 D36 E36 F36 G36 H36 I36 D37 E37 F37 G37 H37 I37 D38 E38 F38 G38 H38 I38 D39 E39 F39 G39 H39 I39 D40 E40 F40 G40 H40 I40 D41 E41 F41 G41 H41 I41 D42 E42 F42 G42 H42 I42 D43 E43 F43 G43 H43 I43 D44 E44 F44 G44 H44 I44 D45 E45 F45 G45 H45 I45 D46 E46 F46 G46 H46 I46 D47 E47 F47 G47 H47 I47 D48 E48 F48 G48 H48 I48 D49 E49 F49 G49 H49 I49 D50 E50 F50 G50 H50 I50 D51 E51 F51 G51 H51 I51 D52 E52 F52 G52 H52 I52 D53 E53 F53 G53 H53 I53 D54 E54 F54 G54 H54 I54 D55 E55 F55 G55 H55 I55 D56 E56 F56 G56 H56 I56 D57 E57 F57 G57 H57 I57 D58 E58 F58 G58 H58 I58 D59 E59 F59 G59 H59 I59 D60 E60 F60 G60 H60 I60 D61 E61 F61 G61 H61 I61 D62 E62 F62 G62 H62 I62 D63 E63 F63 G63 H63 I63 D64 E64 F64 G64 H64 I64 D65 E65 F65 G65 H65 I65 D66 E66 F66 G66 H66 I66 D67 E67 F67 G67 H67 I67 D68 E68 F68 G68 H68 I68 D69 E69 F69 G69 H69 I69 D70 E70 F70 G70 H70 I70 K70 L70 D71 E71 F71 G71 H71 I71 K71 L71 D72 E72 F72 G72 H72 I72 K72 L72 D73 E73 F73 G73 H73 I73 K73 L73 D74 E74 F74 G74 H74 I74 K74 L74 D75 E75 F75 G75 H75 I75 K75 L75 D76 E76 F76 G76 H76 I76 K76 L76 D77 E77 F77 G77 H77 I77 K77 L77 D78 E78 F78 G78 H78 I78 K78 L78 D79 E79 F79 G79 H79 I79 K79 L79 D80 E80 F80 G80 H80 I80 K80 L80 D81 E81 F81 G81 H81 I81 K81 L81 D82 E82 F82 G82 H82 I82 K82 L82 D83 E83 F83 G83 H83 I83 K83 L83 D84 E84 F84 G84 H84 I84 K84 L84 D85 E85 F85 G85 H85 I85 K85 L85 D86 E86 F86 G86 H86 I86 K86 L86 D87 E87 F87 G87 H87 I87 D88 E88 F88 G88 H88 I88 D89 E89 F89 G89 H89 I89 D90 E90 F90 G90 H90 I90 D91 E91 F91 G91 H91 I91 D92 E92 F92 G92 H92 I92 D93 E93 F93 G93 H93 I93 D94 E94 F94 G94 H94 I94 D95 E95 F95 G95 H95 I95 D96 E96 F96 G96 H96 I96 D97 E97 F97 G97 H97 I97 D98 E98 F98 G98 H98 I98 D99 E99 F99 G99 H99 I99 D100 E100 F100 G100 H100 I100">
    <cfRule priority="1" type="cellIs" operator="greaterThan" stopIfTrue="1" dxfId="0">
      <formula>0</formula>
    </cfRule>
    <cfRule priority="2" type="cellIs" operator="lessThan" stopIfTrue="1" dxfId="1">
      <formula>0</formula>
    </cfRule>
    <cfRule priority="3" type="cellIs" operator="equal" stopIfTrue="1" dxfId="2">
      <formula>0</formula>
    </cfRule>
  </conditionalFormatting>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customWidth="1" max="1" width="28.29"/>
    <col min="2" customWidth="1" max="2" width="5.43"/>
    <col min="3" customWidth="1" max="6" width="5.57"/>
    <col min="7" customWidth="1" max="7" width="5.43"/>
    <col min="8" customWidth="1" max="13" width="6.86"/>
    <col min="14" customWidth="1" max="14" width="46.57"/>
    <col min="15" customWidth="1" max="15" width="7.71"/>
    <col min="16" customWidth="1" max="16" width="6.43"/>
    <col min="17" customWidth="1" max="17" width="6.86"/>
    <col min="18" customWidth="1" max="18" width="7.0"/>
  </cols>
  <sheetData>
    <row r="1">
      <c t="s" s="12" r="A1">
        <v>51</v>
      </c>
      <c t="s" s="8" r="B1">
        <v>52</v>
      </c>
      <c t="s" s="8" r="C1">
        <v>53</v>
      </c>
      <c t="s" s="8" r="D1">
        <v>54</v>
      </c>
      <c t="s" s="8" r="E1">
        <v>55</v>
      </c>
      <c t="s" s="8" r="F1">
        <v>56</v>
      </c>
      <c t="s" s="8" r="G1">
        <v>57</v>
      </c>
      <c t="s" s="8" r="H1">
        <v>58</v>
      </c>
      <c t="s" s="8" r="I1">
        <v>59</v>
      </c>
      <c t="s" s="8" r="J1">
        <v>60</v>
      </c>
      <c t="s" s="8" r="K1">
        <v>61</v>
      </c>
      <c t="s" s="8" r="L1">
        <v>62</v>
      </c>
      <c t="s" s="8" r="M1">
        <v>63</v>
      </c>
      <c s="8" r="N1"/>
      <c t="s" s="9" r="O1">
        <v>64</v>
      </c>
      <c t="s" s="9" r="P1">
        <v>65</v>
      </c>
      <c t="s" s="9" r="Q1">
        <v>66</v>
      </c>
      <c t="s" s="9" r="R1">
        <v>67</v>
      </c>
    </row>
    <row r="2">
      <c t="s" s="18" r="A2">
        <v>5</v>
      </c>
      <c r="B2">
        <v>174</v>
      </c>
      <c r="C2">
        <v>12</v>
      </c>
      <c r="D2">
        <v>174</v>
      </c>
      <c r="E2">
        <v>12</v>
      </c>
      <c r="F2">
        <v>174</v>
      </c>
      <c r="G2">
        <v>12</v>
      </c>
      <c r="H2">
        <f>B2</f>
        <v>174</v>
      </c>
      <c r="I2">
        <f>C2</f>
        <v>12</v>
      </c>
      <c r="J2">
        <f>D2</f>
        <v>174</v>
      </c>
      <c r="K2">
        <f>E2</f>
        <v>12</v>
      </c>
      <c r="L2">
        <f>F2</f>
        <v>174</v>
      </c>
      <c r="M2">
        <f>G2</f>
        <v>12</v>
      </c>
      <c t="s" s="5" r="N2">
        <v>68</v>
      </c>
      <c r="Q2">
        <v>399</v>
      </c>
      <c r="R2">
        <v>374</v>
      </c>
    </row>
    <row r="3">
      <c t="s" s="18" r="A3">
        <v>6</v>
      </c>
      <c r="B3">
        <v>2235</v>
      </c>
      <c r="C3">
        <v>12</v>
      </c>
      <c r="D3">
        <v>1448</v>
      </c>
      <c r="E3">
        <v>12</v>
      </c>
      <c r="F3">
        <v>1448</v>
      </c>
      <c r="G3">
        <v>12</v>
      </c>
      <c r="H3">
        <f>B3-B2</f>
        <v>2061</v>
      </c>
      <c r="I3">
        <f>C3-C2</f>
        <v>0</v>
      </c>
      <c r="J3">
        <f>D3-D2</f>
        <v>1274</v>
      </c>
      <c r="K3">
        <f>E3-E2</f>
        <v>0</v>
      </c>
      <c r="L3">
        <f>F3-F2</f>
        <v>1274</v>
      </c>
      <c r="M3">
        <f>G3-G2</f>
        <v>0</v>
      </c>
      <c t="s" r="N3">
        <v>69</v>
      </c>
      <c r="Q3">
        <f>O3-O2</f>
        <v>0</v>
      </c>
      <c r="R3">
        <f>P3-P2</f>
        <v>0</v>
      </c>
    </row>
    <row r="4">
      <c t="s" s="18" r="A4">
        <v>7</v>
      </c>
      <c r="B4">
        <v>3388</v>
      </c>
      <c r="C4">
        <v>48</v>
      </c>
      <c r="D4">
        <v>2561</v>
      </c>
      <c r="E4">
        <v>48</v>
      </c>
      <c r="F4">
        <v>2561</v>
      </c>
      <c r="G4">
        <v>48</v>
      </c>
      <c r="H4">
        <f>B4-B3</f>
        <v>1153</v>
      </c>
      <c r="I4">
        <f>C4-C3</f>
        <v>36</v>
      </c>
      <c r="J4">
        <f>D4-D3</f>
        <v>1113</v>
      </c>
      <c r="K4">
        <f>E4-E3</f>
        <v>36</v>
      </c>
      <c r="L4">
        <f>F4-F3</f>
        <v>1113</v>
      </c>
      <c r="M4">
        <f>G4-G3</f>
        <v>36</v>
      </c>
      <c t="s" r="N4">
        <v>70</v>
      </c>
      <c r="Q4">
        <f>O4-O3</f>
        <v>0</v>
      </c>
      <c r="R4">
        <f>P4-P3</f>
        <v>0</v>
      </c>
    </row>
    <row r="5">
      <c t="s" s="18" r="A5">
        <v>8</v>
      </c>
      <c r="B5">
        <v>6577</v>
      </c>
      <c r="C5">
        <v>48</v>
      </c>
      <c r="D5">
        <v>5056</v>
      </c>
      <c r="E5">
        <v>48</v>
      </c>
      <c r="F5">
        <v>5056</v>
      </c>
      <c r="G5">
        <v>48</v>
      </c>
      <c r="H5">
        <f>B5-B4</f>
        <v>3189</v>
      </c>
      <c r="I5">
        <f>C5-C4</f>
        <v>0</v>
      </c>
      <c r="J5">
        <f>D5-D4</f>
        <v>2495</v>
      </c>
      <c r="K5">
        <f>E5-E4</f>
        <v>0</v>
      </c>
      <c r="L5">
        <f>F5-F4</f>
        <v>2495</v>
      </c>
      <c r="M5">
        <f>G5-G4</f>
        <v>0</v>
      </c>
      <c r="Q5">
        <f>O5-O4</f>
        <v>0</v>
      </c>
      <c r="R5">
        <f>P5-P4</f>
        <v>0</v>
      </c>
    </row>
    <row r="6">
      <c t="s" s="18" r="A6">
        <v>9</v>
      </c>
      <c r="B6">
        <v>6867</v>
      </c>
      <c r="C6">
        <v>87</v>
      </c>
      <c r="D6">
        <v>5346</v>
      </c>
      <c r="E6">
        <v>87</v>
      </c>
      <c r="F6">
        <v>5346</v>
      </c>
      <c r="G6">
        <v>87</v>
      </c>
      <c r="H6">
        <f>B6-B5</f>
        <v>290</v>
      </c>
      <c r="I6">
        <f>C6-C5</f>
        <v>39</v>
      </c>
      <c r="J6">
        <f>D6-D5</f>
        <v>290</v>
      </c>
      <c r="K6">
        <f>E6-E5</f>
        <v>39</v>
      </c>
      <c r="L6">
        <f>F6-F5</f>
        <v>290</v>
      </c>
      <c r="M6">
        <f>G6-G5</f>
        <v>39</v>
      </c>
      <c r="Q6">
        <f>O6-O5</f>
        <v>0</v>
      </c>
      <c r="R6">
        <f>P6-P5</f>
        <v>0</v>
      </c>
    </row>
    <row r="7">
      <c t="s" s="18" r="A7">
        <v>10</v>
      </c>
      <c r="B7">
        <v>10302</v>
      </c>
      <c r="C7">
        <v>87</v>
      </c>
      <c r="D7">
        <v>7886</v>
      </c>
      <c r="E7">
        <v>87</v>
      </c>
      <c r="F7">
        <v>7669</v>
      </c>
      <c r="G7">
        <v>87</v>
      </c>
      <c r="H7">
        <f>B7-B6</f>
        <v>3435</v>
      </c>
      <c r="I7">
        <f>C7-C6</f>
        <v>0</v>
      </c>
      <c r="J7">
        <f>D7-D6</f>
        <v>2540</v>
      </c>
      <c r="K7">
        <f>E7-E6</f>
        <v>0</v>
      </c>
      <c r="L7">
        <f>F7-F6</f>
        <v>2323</v>
      </c>
      <c r="M7">
        <f>G7-G6</f>
        <v>0</v>
      </c>
      <c r="Q7">
        <f>O7-O6</f>
        <v>0</v>
      </c>
      <c r="R7">
        <f>P7-P6</f>
        <v>0</v>
      </c>
    </row>
    <row r="8">
      <c t="s" s="18" r="A8">
        <v>11</v>
      </c>
      <c r="B8">
        <v>10565</v>
      </c>
      <c r="C8">
        <v>107</v>
      </c>
      <c r="D8">
        <v>8149</v>
      </c>
      <c r="E8">
        <v>107</v>
      </c>
      <c r="F8">
        <v>7932</v>
      </c>
      <c r="G8">
        <v>107</v>
      </c>
      <c r="H8">
        <f>B8-B7</f>
        <v>263</v>
      </c>
      <c r="I8">
        <f>C8-C7</f>
        <v>20</v>
      </c>
      <c r="J8">
        <f>D8-D7</f>
        <v>263</v>
      </c>
      <c r="K8">
        <f>E8-E7</f>
        <v>20</v>
      </c>
      <c r="L8">
        <f>F8-F7</f>
        <v>263</v>
      </c>
      <c r="M8">
        <f>G8-G7</f>
        <v>20</v>
      </c>
      <c r="Q8">
        <f>O8-O7</f>
        <v>0</v>
      </c>
      <c r="R8">
        <f>P8-P7</f>
        <v>0</v>
      </c>
    </row>
    <row r="9">
      <c t="s" s="18" r="A9">
        <v>12</v>
      </c>
      <c r="B9">
        <v>12606</v>
      </c>
      <c r="C9">
        <v>107</v>
      </c>
      <c r="D9">
        <v>10139</v>
      </c>
      <c r="E9">
        <v>107</v>
      </c>
      <c r="F9">
        <v>9922</v>
      </c>
      <c r="G9">
        <v>107</v>
      </c>
      <c r="H9">
        <f>B9-B8</f>
        <v>2041</v>
      </c>
      <c r="I9">
        <f>C9-C8</f>
        <v>0</v>
      </c>
      <c r="J9">
        <f>D9-D8</f>
        <v>1990</v>
      </c>
      <c r="K9">
        <f>E9-E8</f>
        <v>0</v>
      </c>
      <c r="L9">
        <f>F9-F8</f>
        <v>1990</v>
      </c>
      <c r="M9">
        <f>G9-G8</f>
        <v>0</v>
      </c>
      <c r="Q9">
        <f>O9-O8</f>
        <v>0</v>
      </c>
      <c r="R9">
        <f>P9-P8</f>
        <v>0</v>
      </c>
    </row>
    <row r="10">
      <c t="s" s="18" r="A10">
        <v>13</v>
      </c>
      <c r="B10">
        <v>12751</v>
      </c>
      <c r="C10">
        <v>122</v>
      </c>
      <c r="D10">
        <v>10284</v>
      </c>
      <c r="E10">
        <v>122</v>
      </c>
      <c r="F10">
        <v>10067</v>
      </c>
      <c r="G10">
        <v>122</v>
      </c>
      <c r="H10">
        <f>B10-B9</f>
        <v>145</v>
      </c>
      <c r="I10">
        <f>C10-C9</f>
        <v>15</v>
      </c>
      <c r="J10">
        <f>D10-D9</f>
        <v>145</v>
      </c>
      <c r="K10">
        <f>E10-E9</f>
        <v>15</v>
      </c>
      <c r="L10">
        <f>F10-F9</f>
        <v>145</v>
      </c>
      <c r="M10">
        <f>G10-G9</f>
        <v>15</v>
      </c>
      <c r="Q10">
        <f>O10-O9</f>
        <v>0</v>
      </c>
      <c r="R10">
        <f>P10-P9</f>
        <v>0</v>
      </c>
    </row>
    <row r="11">
      <c t="s" s="18" r="A11">
        <v>14</v>
      </c>
      <c r="B11">
        <v>15483</v>
      </c>
      <c r="C11">
        <v>122</v>
      </c>
      <c r="D11">
        <v>12200</v>
      </c>
      <c r="E11">
        <v>122</v>
      </c>
      <c r="F11">
        <v>11983</v>
      </c>
      <c r="G11">
        <v>122</v>
      </c>
      <c r="H11">
        <f>B11-B10</f>
        <v>2732</v>
      </c>
      <c r="I11">
        <f>C11-C10</f>
        <v>0</v>
      </c>
      <c r="J11">
        <f>D11-D10</f>
        <v>1916</v>
      </c>
      <c r="K11">
        <f>E11-E10</f>
        <v>0</v>
      </c>
      <c r="L11">
        <f>F11-F10</f>
        <v>1916</v>
      </c>
      <c r="M11">
        <f>G11-G10</f>
        <v>0</v>
      </c>
      <c r="Q11">
        <f>O11-O10</f>
        <v>0</v>
      </c>
      <c r="R11">
        <f>P11-P10</f>
        <v>0</v>
      </c>
    </row>
    <row r="12">
      <c t="s" s="18" r="A12">
        <v>15</v>
      </c>
      <c r="B12">
        <v>15752</v>
      </c>
      <c r="C12">
        <v>146</v>
      </c>
      <c r="D12">
        <v>12468</v>
      </c>
      <c r="E12">
        <v>146</v>
      </c>
      <c r="F12">
        <v>12251</v>
      </c>
      <c r="G12">
        <v>146</v>
      </c>
      <c r="H12">
        <f>B12-B11</f>
        <v>269</v>
      </c>
      <c r="I12">
        <f>C12-C11</f>
        <v>24</v>
      </c>
      <c r="J12">
        <f>D12-D11</f>
        <v>268</v>
      </c>
      <c r="K12">
        <f>E12-E11</f>
        <v>24</v>
      </c>
      <c r="L12">
        <f>F12-F11</f>
        <v>268</v>
      </c>
      <c r="M12">
        <f>G12-G11</f>
        <v>24</v>
      </c>
      <c r="Q12">
        <f>O12-O11</f>
        <v>0</v>
      </c>
      <c r="R12">
        <f>P12-P11</f>
        <v>0</v>
      </c>
    </row>
    <row r="13">
      <c t="s" s="14" r="A13">
        <v>16</v>
      </c>
      <c r="B13">
        <v>17320</v>
      </c>
      <c r="C13">
        <v>147</v>
      </c>
      <c r="D13">
        <v>13665</v>
      </c>
      <c r="E13">
        <v>147</v>
      </c>
      <c r="F13">
        <v>13448</v>
      </c>
      <c r="G13">
        <v>147</v>
      </c>
      <c r="H13">
        <f>B13-B12</f>
        <v>1568</v>
      </c>
      <c r="I13">
        <f>C13-C12</f>
        <v>1</v>
      </c>
      <c r="J13">
        <f>D13-D12</f>
        <v>1197</v>
      </c>
      <c r="K13">
        <f>E13-E12</f>
        <v>1</v>
      </c>
      <c r="L13">
        <f>F13-F12</f>
        <v>1197</v>
      </c>
      <c r="M13">
        <f>G13-G12</f>
        <v>1</v>
      </c>
      <c r="Q13">
        <f>O13-O12</f>
        <v>0</v>
      </c>
      <c r="R13">
        <f>P13-P12</f>
        <v>0</v>
      </c>
    </row>
    <row r="14">
      <c t="s" s="14" r="A14">
        <v>17</v>
      </c>
      <c r="B14">
        <v>17586</v>
      </c>
      <c r="C14">
        <v>166</v>
      </c>
      <c r="D14">
        <v>13931</v>
      </c>
      <c r="E14">
        <v>166</v>
      </c>
      <c r="F14">
        <v>13714</v>
      </c>
      <c r="G14">
        <v>166</v>
      </c>
      <c r="H14">
        <f>B14-B13</f>
        <v>266</v>
      </c>
      <c r="I14">
        <f>C14-C13</f>
        <v>19</v>
      </c>
      <c r="J14">
        <f>D14-D13</f>
        <v>266</v>
      </c>
      <c r="K14">
        <f>E14-E13</f>
        <v>19</v>
      </c>
      <c r="L14">
        <f>F14-F13</f>
        <v>266</v>
      </c>
      <c r="M14">
        <f>G14-G13</f>
        <v>19</v>
      </c>
      <c r="Q14">
        <f>O14-O13</f>
        <v>0</v>
      </c>
      <c r="R14">
        <f>P14-P13</f>
        <v>0</v>
      </c>
    </row>
    <row r="15">
      <c t="s" s="14" r="A15">
        <v>18</v>
      </c>
      <c r="B15">
        <v>20643</v>
      </c>
      <c r="C15">
        <v>166</v>
      </c>
      <c r="D15">
        <v>16136</v>
      </c>
      <c r="E15">
        <v>166</v>
      </c>
      <c r="F15">
        <v>15873</v>
      </c>
      <c r="G15">
        <v>166</v>
      </c>
      <c r="H15">
        <f>B15-B14</f>
        <v>3057</v>
      </c>
      <c r="I15">
        <f>C15-C14</f>
        <v>0</v>
      </c>
      <c r="J15">
        <f>D15-D14</f>
        <v>2205</v>
      </c>
      <c r="K15">
        <f>E15-E14</f>
        <v>0</v>
      </c>
      <c r="L15">
        <f>F15-F14</f>
        <v>2159</v>
      </c>
      <c r="M15">
        <f>G15-G14</f>
        <v>0</v>
      </c>
      <c r="Q15">
        <f>O15-O14</f>
        <v>0</v>
      </c>
      <c r="R15">
        <f>P15-P14</f>
        <v>0</v>
      </c>
    </row>
    <row r="16">
      <c t="s" s="14" r="A16">
        <v>19</v>
      </c>
      <c r="B16">
        <v>20880</v>
      </c>
      <c r="C16">
        <v>184</v>
      </c>
      <c r="D16">
        <v>16373</v>
      </c>
      <c r="E16">
        <v>185</v>
      </c>
      <c r="F16">
        <v>16110</v>
      </c>
      <c r="G16">
        <v>185</v>
      </c>
      <c r="H16">
        <f>B16-B15</f>
        <v>237</v>
      </c>
      <c r="I16">
        <f>C16-C15</f>
        <v>18</v>
      </c>
      <c r="J16">
        <f>D16-D15</f>
        <v>237</v>
      </c>
      <c r="K16">
        <f>E16-E15</f>
        <v>19</v>
      </c>
      <c r="L16">
        <f>F16-F15</f>
        <v>237</v>
      </c>
      <c r="M16">
        <f>G16-G15</f>
        <v>19</v>
      </c>
      <c r="Q16">
        <f>O16-O15</f>
        <v>0</v>
      </c>
      <c r="R16">
        <f>P16-P15</f>
        <v>0</v>
      </c>
    </row>
    <row r="17">
      <c t="s" s="14" r="A17">
        <v>20</v>
      </c>
      <c r="B17">
        <v>24090</v>
      </c>
      <c r="C17">
        <v>184</v>
      </c>
      <c r="F17">
        <v>18911</v>
      </c>
      <c r="G17">
        <v>185</v>
      </c>
      <c r="H17">
        <f>B17-B16</f>
        <v>3210</v>
      </c>
      <c r="I17">
        <f>C17-C16</f>
        <v>0</v>
      </c>
      <c r="J17">
        <f>D17-D16</f>
        <v>-16373</v>
      </c>
      <c r="K17">
        <f>E17-E16</f>
        <v>-185</v>
      </c>
      <c r="L17">
        <f>F17-F16</f>
        <v>2801</v>
      </c>
      <c r="M17">
        <f>G17-G16</f>
        <v>0</v>
      </c>
      <c r="Q17">
        <f>O17-O16</f>
        <v>0</v>
      </c>
      <c r="R17">
        <f>P17-P16</f>
        <v>0</v>
      </c>
    </row>
    <row r="18">
      <c t="s" s="14" r="A18">
        <v>21</v>
      </c>
      <c r="B18">
        <v>24409</v>
      </c>
      <c r="C18">
        <v>203</v>
      </c>
      <c r="F18">
        <v>19227</v>
      </c>
      <c r="G18">
        <v>204</v>
      </c>
      <c r="H18">
        <f>B18-B17</f>
        <v>319</v>
      </c>
      <c r="I18">
        <f>C18-C17</f>
        <v>19</v>
      </c>
      <c r="J18">
        <f>D18-D17</f>
        <v>0</v>
      </c>
      <c r="K18">
        <f>E18-E17</f>
        <v>0</v>
      </c>
      <c r="L18">
        <f>F18-F17</f>
        <v>316</v>
      </c>
      <c r="M18">
        <f>G18-G17</f>
        <v>19</v>
      </c>
      <c r="Q18">
        <f>O18-O17</f>
        <v>0</v>
      </c>
      <c r="R18">
        <f>P18-P17</f>
        <v>0</v>
      </c>
    </row>
    <row r="19">
      <c t="s" s="14" r="A19">
        <v>22</v>
      </c>
      <c r="B19">
        <v>25489</v>
      </c>
      <c r="C19">
        <v>203</v>
      </c>
      <c r="F19">
        <v>20307</v>
      </c>
      <c r="G19">
        <v>204</v>
      </c>
      <c r="H19">
        <f>B19-B18</f>
        <v>1080</v>
      </c>
      <c r="I19">
        <f>C19-C18</f>
        <v>0</v>
      </c>
      <c r="J19">
        <f>D19-D18</f>
        <v>0</v>
      </c>
      <c r="K19">
        <f>E19-E18</f>
        <v>0</v>
      </c>
      <c r="L19">
        <f>F19-F18</f>
        <v>1080</v>
      </c>
      <c r="M19">
        <f>G19-G18</f>
        <v>0</v>
      </c>
      <c r="Q19">
        <f>O19-O18</f>
        <v>0</v>
      </c>
      <c r="R19">
        <f>P19-P18</f>
        <v>0</v>
      </c>
    </row>
    <row r="20">
      <c t="s" s="14" r="A20">
        <v>23</v>
      </c>
      <c r="B20">
        <v>25717</v>
      </c>
      <c r="C20">
        <v>222</v>
      </c>
      <c r="F20">
        <v>20568</v>
      </c>
      <c r="G20">
        <v>223</v>
      </c>
      <c r="H20">
        <f>B20-B19</f>
        <v>228</v>
      </c>
      <c r="I20">
        <f>C20-C19</f>
        <v>19</v>
      </c>
      <c r="J20">
        <f>D20-D19</f>
        <v>0</v>
      </c>
      <c r="K20">
        <f>E20-E19</f>
        <v>0</v>
      </c>
      <c r="L20">
        <f>F20-F19</f>
        <v>261</v>
      </c>
      <c r="M20">
        <f>G20-G19</f>
        <v>19</v>
      </c>
      <c r="Q20">
        <f>O20-O19</f>
        <v>0</v>
      </c>
      <c r="R20">
        <f>P20-P19</f>
        <v>0</v>
      </c>
    </row>
    <row r="21">
      <c t="s" s="14" r="A21">
        <v>24</v>
      </c>
      <c r="B21">
        <v>27309</v>
      </c>
      <c r="C21">
        <v>222</v>
      </c>
      <c r="F21">
        <v>22083</v>
      </c>
      <c r="G21">
        <v>223</v>
      </c>
      <c r="H21">
        <f>B21-B20</f>
        <v>1592</v>
      </c>
      <c r="I21">
        <f>C21-C20</f>
        <v>0</v>
      </c>
      <c r="J21">
        <f>D21-D20</f>
        <v>0</v>
      </c>
      <c r="K21">
        <f>E21-E20</f>
        <v>0</v>
      </c>
      <c r="L21">
        <f>F21-F20</f>
        <v>1515</v>
      </c>
      <c r="M21">
        <f>G21-G20</f>
        <v>0</v>
      </c>
    </row>
    <row r="22">
      <c t="s" s="14" r="A22">
        <v>25</v>
      </c>
      <c r="B22">
        <v>27593</v>
      </c>
      <c r="C22">
        <v>252</v>
      </c>
      <c r="D22">
        <v>22367</v>
      </c>
      <c r="F22">
        <v>22367</v>
      </c>
      <c r="G22">
        <v>253</v>
      </c>
      <c r="H22">
        <f>B22-B21</f>
        <v>284</v>
      </c>
      <c r="I22">
        <f>C22-C21</f>
        <v>30</v>
      </c>
      <c r="J22">
        <f>D22-D21</f>
        <v>22367</v>
      </c>
      <c r="K22">
        <f>E22-E21</f>
        <v>0</v>
      </c>
      <c r="L22">
        <f>F22-F21</f>
        <v>284</v>
      </c>
      <c r="M22">
        <f>G22-G21</f>
        <v>30</v>
      </c>
    </row>
    <row r="23">
      <c t="s" s="14" r="A23">
        <v>26</v>
      </c>
      <c r="B23">
        <v>31552</v>
      </c>
      <c r="C23">
        <v>252</v>
      </c>
      <c r="D23">
        <v>25451</v>
      </c>
      <c r="F23">
        <v>25379</v>
      </c>
      <c r="G23">
        <v>253</v>
      </c>
      <c r="H23">
        <f>B23-B22</f>
        <v>3959</v>
      </c>
      <c r="I23">
        <f>C23-C22</f>
        <v>0</v>
      </c>
      <c r="J23">
        <f>D23-D22</f>
        <v>3084</v>
      </c>
      <c r="K23">
        <f>E23-E22</f>
        <v>0</v>
      </c>
      <c r="L23">
        <f>F23-F22</f>
        <v>3012</v>
      </c>
      <c r="M23">
        <f>G23-G22</f>
        <v>0</v>
      </c>
    </row>
    <row r="24">
      <c t="s" s="14" r="A24">
        <v>27</v>
      </c>
      <c r="B24">
        <v>31846</v>
      </c>
      <c r="C24">
        <v>279</v>
      </c>
      <c r="D24">
        <v>25709</v>
      </c>
      <c r="F24">
        <v>25637</v>
      </c>
      <c r="G24">
        <v>280</v>
      </c>
      <c r="H24">
        <f>B24-B23</f>
        <v>294</v>
      </c>
      <c r="I24">
        <f>C24-C23</f>
        <v>27</v>
      </c>
      <c r="J24">
        <f>D24-D23</f>
        <v>258</v>
      </c>
      <c r="K24">
        <f>E24-E23</f>
        <v>0</v>
      </c>
      <c r="L24">
        <f>F24-F23</f>
        <v>258</v>
      </c>
      <c r="M24">
        <f>G24-G23</f>
        <v>27</v>
      </c>
    </row>
    <row r="25">
      <c t="s" s="14" r="A25">
        <v>28</v>
      </c>
      <c r="B25">
        <v>37036</v>
      </c>
      <c r="C25">
        <v>279</v>
      </c>
      <c r="D25">
        <v>29357</v>
      </c>
      <c r="F25">
        <v>29285</v>
      </c>
      <c r="G25">
        <v>280</v>
      </c>
      <c r="H25">
        <f>B25-B24</f>
        <v>5190</v>
      </c>
      <c r="I25">
        <f>C25-C24</f>
        <v>0</v>
      </c>
      <c r="J25">
        <f>D25-D24</f>
        <v>3648</v>
      </c>
      <c r="K25">
        <f>E25-E24</f>
        <v>0</v>
      </c>
      <c r="L25">
        <f>F25-F24</f>
        <v>3648</v>
      </c>
      <c r="M25">
        <f>G25-G24</f>
        <v>0</v>
      </c>
    </row>
    <row r="26">
      <c t="s" s="14" r="A26">
        <v>29</v>
      </c>
      <c r="B26">
        <v>37302</v>
      </c>
      <c r="C26">
        <v>298</v>
      </c>
      <c r="D26">
        <v>29578</v>
      </c>
      <c r="F26">
        <v>29547</v>
      </c>
      <c r="G26">
        <v>299</v>
      </c>
      <c r="H26">
        <f>B26-B25</f>
        <v>266</v>
      </c>
      <c r="I26">
        <f>C26-C25</f>
        <v>19</v>
      </c>
      <c r="J26">
        <f>D26-D25</f>
        <v>221</v>
      </c>
      <c r="K26">
        <f>E26-E25</f>
        <v>0</v>
      </c>
      <c r="L26">
        <f>F26-F25</f>
        <v>262</v>
      </c>
      <c r="M26">
        <f>G26-G25</f>
        <v>19</v>
      </c>
    </row>
    <row r="27">
      <c t="s" s="14" r="A27">
        <v>30</v>
      </c>
      <c r="B27">
        <v>41261</v>
      </c>
      <c r="C27">
        <v>298</v>
      </c>
      <c r="D27">
        <v>32287</v>
      </c>
      <c r="F27">
        <v>33008</v>
      </c>
      <c r="G27">
        <v>299</v>
      </c>
      <c r="H27">
        <f>B27-B26</f>
        <v>3959</v>
      </c>
      <c r="I27">
        <f>C27-C26</f>
        <v>0</v>
      </c>
      <c r="J27">
        <f>D27-D26</f>
        <v>2709</v>
      </c>
      <c r="K27">
        <f>E27-E26</f>
        <v>0</v>
      </c>
      <c r="L27">
        <f>F27-F26</f>
        <v>3461</v>
      </c>
      <c r="M27">
        <f>G27-G26</f>
        <v>0</v>
      </c>
    </row>
    <row r="28">
      <c t="s" s="14" r="A28">
        <v>31</v>
      </c>
      <c r="B28">
        <v>41603</v>
      </c>
      <c r="C28">
        <v>319</v>
      </c>
      <c r="D28">
        <v>33346</v>
      </c>
      <c r="E28">
        <v>320</v>
      </c>
      <c r="F28">
        <v>33346</v>
      </c>
      <c r="G28">
        <v>320</v>
      </c>
      <c r="H28">
        <f>B28-B27</f>
        <v>342</v>
      </c>
      <c r="I28">
        <f>C28-C27</f>
        <v>21</v>
      </c>
      <c r="J28">
        <f>D28-D27</f>
        <v>1059</v>
      </c>
      <c r="K28">
        <f>E28-E27</f>
        <v>320</v>
      </c>
      <c r="L28">
        <f>F28-F27</f>
        <v>338</v>
      </c>
      <c r="M28">
        <f>G28-G27</f>
        <v>21</v>
      </c>
    </row>
    <row r="29">
      <c t="s" s="14" r="A29">
        <v>32</v>
      </c>
      <c r="B29">
        <v>44363</v>
      </c>
      <c r="C29">
        <v>319</v>
      </c>
      <c r="D29">
        <v>35042</v>
      </c>
      <c r="E29">
        <v>321</v>
      </c>
      <c r="F29">
        <v>34919</v>
      </c>
      <c r="G29">
        <v>322</v>
      </c>
      <c r="H29">
        <f>B29-B28</f>
        <v>2760</v>
      </c>
      <c r="I29">
        <f>C29-C28</f>
        <v>0</v>
      </c>
      <c r="J29">
        <f>D29-D28</f>
        <v>1696</v>
      </c>
      <c r="K29">
        <f>E29-E28</f>
        <v>1</v>
      </c>
      <c r="L29">
        <f>F29-F28</f>
        <v>1573</v>
      </c>
      <c r="M29">
        <f>G29-G28</f>
        <v>2</v>
      </c>
    </row>
    <row r="30">
      <c t="s" s="14" r="A30">
        <v>33</v>
      </c>
      <c r="B30">
        <v>44657</v>
      </c>
      <c r="C30">
        <v>343</v>
      </c>
      <c r="D30">
        <v>35212</v>
      </c>
      <c r="E30">
        <v>346</v>
      </c>
      <c r="F30">
        <v>35212</v>
      </c>
      <c r="G30">
        <v>346</v>
      </c>
      <c r="H30">
        <f>B30-B29</f>
        <v>294</v>
      </c>
      <c r="I30">
        <f>C30-C29</f>
        <v>24</v>
      </c>
      <c r="J30">
        <f>D30-D29</f>
        <v>170</v>
      </c>
      <c r="K30">
        <f>E30-E29</f>
        <v>25</v>
      </c>
      <c r="L30">
        <f>F30-F29</f>
        <v>293</v>
      </c>
      <c r="M30">
        <f>G30-G29</f>
        <v>24</v>
      </c>
    </row>
    <row r="31">
      <c t="s" s="14" r="A31">
        <v>34</v>
      </c>
      <c r="B31">
        <v>46054</v>
      </c>
      <c r="C31">
        <v>343</v>
      </c>
      <c r="D31">
        <v>36195</v>
      </c>
      <c r="E31">
        <v>346</v>
      </c>
      <c r="F31">
        <v>36154</v>
      </c>
      <c r="G31">
        <v>346</v>
      </c>
      <c r="H31">
        <f>B31-B30</f>
        <v>1397</v>
      </c>
      <c r="I31">
        <f>C31-C30</f>
        <v>0</v>
      </c>
      <c r="J31">
        <f>D31-D30</f>
        <v>983</v>
      </c>
      <c r="K31">
        <f>E31-E30</f>
        <v>0</v>
      </c>
      <c r="L31">
        <f>F31-F30</f>
        <v>942</v>
      </c>
      <c r="M31">
        <f>G31-G30</f>
        <v>0</v>
      </c>
    </row>
    <row r="32">
      <c t="s" s="14" r="A32">
        <v>35</v>
      </c>
      <c r="B32">
        <v>46354</v>
      </c>
      <c r="C32">
        <v>413</v>
      </c>
      <c r="F32">
        <v>36451</v>
      </c>
      <c r="G32">
        <v>416</v>
      </c>
      <c r="H32">
        <f>B32-B31</f>
        <v>300</v>
      </c>
      <c r="I32">
        <f>C32-C31</f>
        <v>70</v>
      </c>
      <c r="J32">
        <f>D32-D31</f>
        <v>-36195</v>
      </c>
      <c r="K32">
        <f>E32-E31</f>
        <v>-346</v>
      </c>
      <c r="L32">
        <f>F32-F31</f>
        <v>297</v>
      </c>
      <c r="M32">
        <f>G32-G31</f>
        <v>70</v>
      </c>
    </row>
    <row r="33">
      <c t="s" s="14" r="A33">
        <v>36</v>
      </c>
      <c r="B33">
        <v>48413</v>
      </c>
      <c r="C33">
        <v>413</v>
      </c>
      <c r="F33">
        <v>37705</v>
      </c>
      <c r="G33">
        <v>416</v>
      </c>
      <c r="H33">
        <f>B33-B32</f>
        <v>2059</v>
      </c>
      <c r="I33">
        <f>C33-C32</f>
        <v>0</v>
      </c>
      <c r="J33">
        <f>D33-D32</f>
        <v>0</v>
      </c>
      <c r="K33">
        <f>E33-E32</f>
        <v>0</v>
      </c>
      <c r="L33">
        <f>F33-F32</f>
        <v>1254</v>
      </c>
      <c r="M33">
        <f>G33-G32</f>
        <v>0</v>
      </c>
    </row>
    <row r="34">
      <c t="s" s="14" r="A34">
        <v>37</v>
      </c>
      <c r="B34">
        <v>48720</v>
      </c>
      <c r="C34">
        <v>496</v>
      </c>
      <c r="D34">
        <v>38008</v>
      </c>
      <c r="E34">
        <v>499</v>
      </c>
      <c r="F34">
        <v>38008</v>
      </c>
      <c r="G34">
        <v>499</v>
      </c>
      <c r="H34">
        <f>B34-B33</f>
        <v>307</v>
      </c>
      <c r="I34">
        <f>C34-C33</f>
        <v>83</v>
      </c>
      <c r="J34">
        <f>D34-D33</f>
        <v>38008</v>
      </c>
      <c r="K34">
        <f>E34-E33</f>
        <v>499</v>
      </c>
      <c r="L34">
        <f>F34-F33</f>
        <v>303</v>
      </c>
      <c r="M34">
        <f>G34-G33</f>
        <v>83</v>
      </c>
    </row>
    <row r="35">
      <c t="s" s="14" r="A35">
        <v>38</v>
      </c>
      <c r="B35">
        <v>50310</v>
      </c>
      <c r="C35">
        <v>496</v>
      </c>
      <c r="D35">
        <v>39045</v>
      </c>
      <c r="E35">
        <v>499</v>
      </c>
      <c r="F35">
        <v>39005</v>
      </c>
      <c r="G35">
        <v>499</v>
      </c>
      <c r="H35">
        <f>B35-B34</f>
        <v>1590</v>
      </c>
      <c r="I35">
        <f>C35-C34</f>
        <v>0</v>
      </c>
      <c r="J35">
        <f>D35-D34</f>
        <v>1037</v>
      </c>
      <c r="K35">
        <f>E35-E34</f>
        <v>0</v>
      </c>
      <c r="L35">
        <f>F35-F34</f>
        <v>997</v>
      </c>
      <c r="M35">
        <f>G35-G34</f>
        <v>0</v>
      </c>
    </row>
    <row r="36">
      <c t="s" s="14" r="A36">
        <v>39</v>
      </c>
      <c r="B36">
        <v>50579</v>
      </c>
      <c r="C36">
        <v>518</v>
      </c>
      <c r="D36">
        <v>39311</v>
      </c>
      <c r="E36">
        <v>521</v>
      </c>
      <c r="F36">
        <v>39271</v>
      </c>
      <c r="G36">
        <v>521</v>
      </c>
      <c r="H36">
        <f>B36-B35</f>
        <v>269</v>
      </c>
      <c r="I36">
        <f>C36-C35</f>
        <v>22</v>
      </c>
      <c r="J36">
        <f>D36-D35</f>
        <v>266</v>
      </c>
      <c r="K36">
        <f>E36-E35</f>
        <v>22</v>
      </c>
      <c r="L36">
        <f>F36-F35</f>
        <v>266</v>
      </c>
      <c r="M36">
        <f>G36-G35</f>
        <v>22</v>
      </c>
    </row>
    <row r="37">
      <c t="s" s="14" r="A37">
        <v>40</v>
      </c>
      <c r="B37">
        <v>52068</v>
      </c>
      <c r="C37">
        <v>518</v>
      </c>
      <c r="D37">
        <v>40674</v>
      </c>
      <c r="E37">
        <v>521</v>
      </c>
      <c r="F37">
        <v>40500</v>
      </c>
      <c r="G37">
        <v>521</v>
      </c>
      <c r="H37">
        <f>B37-B36</f>
        <v>1489</v>
      </c>
      <c r="I37">
        <f>C37-C36</f>
        <v>0</v>
      </c>
      <c r="J37">
        <f>D37-D36</f>
        <v>1363</v>
      </c>
      <c r="K37">
        <f>E37-E36</f>
        <v>0</v>
      </c>
      <c r="L37">
        <f>F37-F36</f>
        <v>1229</v>
      </c>
      <c r="M37">
        <f>G37-G36</f>
        <v>0</v>
      </c>
    </row>
    <row r="38">
      <c t="s" s="14" r="A38">
        <v>41</v>
      </c>
      <c r="B38">
        <v>52468</v>
      </c>
      <c r="C38">
        <v>583</v>
      </c>
      <c r="D38">
        <v>40908</v>
      </c>
      <c r="F38">
        <v>40908</v>
      </c>
      <c r="G38">
        <v>586</v>
      </c>
      <c r="H38">
        <f>B38-B37</f>
        <v>400</v>
      </c>
      <c r="I38">
        <f>C38-C37</f>
        <v>65</v>
      </c>
      <c r="J38">
        <f>D38-D37</f>
        <v>234</v>
      </c>
      <c r="K38">
        <f>E38-E37</f>
        <v>-521</v>
      </c>
      <c r="L38">
        <f>F38-F37</f>
        <v>408</v>
      </c>
      <c r="M38">
        <f>G38-G37</f>
        <v>65</v>
      </c>
    </row>
    <row r="39">
      <c t="s" s="14" r="A39">
        <v>42</v>
      </c>
      <c r="B39">
        <v>56345</v>
      </c>
      <c r="C39">
        <v>583</v>
      </c>
      <c r="D39">
        <v>43213</v>
      </c>
      <c r="F39">
        <v>43036</v>
      </c>
      <c r="G39">
        <v>586</v>
      </c>
      <c r="H39">
        <f>B39-B38</f>
        <v>3877</v>
      </c>
      <c r="I39">
        <f>C39-C38</f>
        <v>0</v>
      </c>
      <c r="J39">
        <f>D39-D38</f>
        <v>2305</v>
      </c>
      <c r="K39">
        <f>E39-E38</f>
        <v>0</v>
      </c>
      <c r="L39">
        <f>F39-F38</f>
        <v>2128</v>
      </c>
      <c r="M39">
        <f>G39-G38</f>
        <v>0</v>
      </c>
    </row>
    <row r="40">
      <c t="s" s="14" r="A40">
        <v>43</v>
      </c>
      <c r="B40">
        <v>56573</v>
      </c>
      <c r="C40">
        <v>602</v>
      </c>
      <c r="H40">
        <f>B40-B39</f>
        <v>228</v>
      </c>
      <c r="I40">
        <f>C40-C39</f>
        <v>19</v>
      </c>
      <c r="J40">
        <f>D40-D39</f>
        <v>-43213</v>
      </c>
      <c r="K40">
        <f>E40-E39</f>
        <v>0</v>
      </c>
      <c r="L40">
        <f>F40-F39</f>
        <v>-43036</v>
      </c>
      <c r="M40">
        <f>G40-G39</f>
        <v>-586</v>
      </c>
    </row>
    <row r="41">
      <c t="s" s="14" r="A41">
        <v>44</v>
      </c>
      <c r="B41">
        <v>64416</v>
      </c>
      <c r="C41">
        <v>602</v>
      </c>
      <c r="H41">
        <f>B41-B40</f>
        <v>7843</v>
      </c>
      <c r="I41">
        <f>C41-C40</f>
        <v>0</v>
      </c>
      <c r="J41">
        <f>D41-D40</f>
        <v>0</v>
      </c>
      <c r="K41">
        <f>E41-E40</f>
        <v>0</v>
      </c>
      <c r="L41">
        <f>F41-F40</f>
        <v>0</v>
      </c>
      <c r="M41">
        <f>G41-G40</f>
        <v>0</v>
      </c>
    </row>
    <row r="42">
      <c t="s" s="14" r="A42">
        <v>45</v>
      </c>
      <c r="B42">
        <v>64710</v>
      </c>
      <c r="C42">
        <v>626</v>
      </c>
      <c r="H42">
        <f>B42-B41</f>
        <v>294</v>
      </c>
      <c r="I42">
        <f>C42-C41</f>
        <v>24</v>
      </c>
      <c r="J42">
        <f>D42-D41</f>
        <v>0</v>
      </c>
      <c r="K42">
        <f>E42-E41</f>
        <v>0</v>
      </c>
      <c r="L42">
        <f>F42-F41</f>
        <v>0</v>
      </c>
      <c r="M42">
        <f>G42-G41</f>
        <v>0</v>
      </c>
    </row>
    <row r="43">
      <c t="s" s="14" r="A43">
        <v>46</v>
      </c>
      <c r="B43">
        <v>68257</v>
      </c>
      <c r="C43">
        <v>626</v>
      </c>
      <c r="H43">
        <f>B43-B42</f>
        <v>3547</v>
      </c>
      <c r="I43">
        <f>C43-C42</f>
        <v>0</v>
      </c>
      <c r="J43">
        <f>D43-D42</f>
        <v>0</v>
      </c>
      <c r="K43">
        <f>E43-E42</f>
        <v>0</v>
      </c>
      <c r="L43">
        <f>F43-F42</f>
        <v>0</v>
      </c>
      <c r="M43">
        <f>G43-G42</f>
        <v>0</v>
      </c>
    </row>
    <row r="44">
      <c t="s" s="14" r="A44">
        <v>47</v>
      </c>
      <c r="B44">
        <v>68544</v>
      </c>
      <c r="C44">
        <v>643</v>
      </c>
      <c r="H44">
        <f>B44-B43</f>
        <v>287</v>
      </c>
      <c r="I44">
        <f>C44-C43</f>
        <v>17</v>
      </c>
      <c r="J44">
        <f>D44-D43</f>
        <v>0</v>
      </c>
      <c r="K44">
        <f>E44-E43</f>
        <v>0</v>
      </c>
      <c r="L44">
        <f>F44-F43</f>
        <v>0</v>
      </c>
      <c r="M44">
        <f>G44-G43</f>
        <v>0</v>
      </c>
    </row>
    <row r="45">
      <c t="s" s="14" r="A45">
        <v>48</v>
      </c>
      <c r="B45">
        <v>74726</v>
      </c>
      <c r="C45">
        <v>755</v>
      </c>
      <c r="H45">
        <f>B45-B44</f>
        <v>6182</v>
      </c>
      <c r="I45">
        <f>C45-C44</f>
        <v>112</v>
      </c>
      <c r="J45">
        <f>D45-D44</f>
        <v>0</v>
      </c>
      <c r="K45">
        <f>E45-E44</f>
        <v>0</v>
      </c>
      <c r="L45">
        <f>F45-F44</f>
        <v>0</v>
      </c>
      <c r="M45">
        <f>G45-G44</f>
        <v>0</v>
      </c>
    </row>
    <row r="46">
      <c t="s" s="14" r="A46">
        <v>49</v>
      </c>
      <c r="B46">
        <v>75063</v>
      </c>
      <c r="C46">
        <v>792</v>
      </c>
      <c r="H46">
        <f>B46-B45</f>
        <v>337</v>
      </c>
      <c r="I46">
        <f>C46-C45</f>
        <v>37</v>
      </c>
      <c r="J46">
        <f>D46-D45</f>
        <v>0</v>
      </c>
      <c r="K46">
        <f>E46-E45</f>
        <v>0</v>
      </c>
      <c r="L46">
        <f>F46-F45</f>
        <v>0</v>
      </c>
      <c r="M46">
        <f>G46-G45</f>
        <v>0</v>
      </c>
    </row>
    <row r="47">
      <c t="s" s="14" r="A47">
        <v>50</v>
      </c>
      <c r="B47">
        <v>85937</v>
      </c>
      <c r="C47">
        <v>793</v>
      </c>
      <c r="H47">
        <f>B47-B46</f>
        <v>10874</v>
      </c>
      <c r="I47">
        <f>C47-C46</f>
        <v>1</v>
      </c>
      <c r="J47">
        <f>D47-D46</f>
        <v>0</v>
      </c>
      <c r="K47">
        <f>E47-E46</f>
        <v>0</v>
      </c>
      <c r="L47">
        <f>F47-F46</f>
        <v>0</v>
      </c>
      <c r="M47">
        <f>G47-G46</f>
        <v>0</v>
      </c>
    </row>
    <row r="48">
      <c s="14" r="A48"/>
      <c r="H48">
        <f>B48-B47</f>
        <v>-85937</v>
      </c>
      <c r="I48">
        <f>C48-C47</f>
        <v>-793</v>
      </c>
      <c r="J48">
        <f>D48-D47</f>
        <v>0</v>
      </c>
      <c r="K48">
        <f>E48-E47</f>
        <v>0</v>
      </c>
      <c r="L48">
        <f>F48-F47</f>
        <v>0</v>
      </c>
      <c r="M48">
        <f>G48-G47</f>
        <v>0</v>
      </c>
    </row>
    <row r="49">
      <c s="14" r="A49"/>
      <c r="H49">
        <f>B49-B48</f>
        <v>0</v>
      </c>
      <c r="I49">
        <f>C49-C48</f>
        <v>0</v>
      </c>
      <c r="J49">
        <f>D49-D48</f>
        <v>0</v>
      </c>
      <c r="K49">
        <f>E49-E48</f>
        <v>0</v>
      </c>
      <c r="L49">
        <f>F49-F48</f>
        <v>0</v>
      </c>
      <c r="M49">
        <f>G49-G48</f>
        <v>0</v>
      </c>
    </row>
    <row r="50">
      <c s="14" r="A50"/>
      <c r="H50">
        <f>B50-B49</f>
        <v>0</v>
      </c>
      <c r="I50">
        <f>C50-C49</f>
        <v>0</v>
      </c>
      <c r="J50">
        <f>D50-D49</f>
        <v>0</v>
      </c>
      <c r="K50">
        <f>E50-E49</f>
        <v>0</v>
      </c>
      <c r="L50">
        <f>F50-F49</f>
        <v>0</v>
      </c>
      <c r="M50">
        <f>G50-G49</f>
        <v>0</v>
      </c>
    </row>
    <row r="51">
      <c s="14" r="A51"/>
      <c r="H51">
        <f>B51-B50</f>
        <v>0</v>
      </c>
      <c r="I51">
        <f>C51-C50</f>
        <v>0</v>
      </c>
      <c r="J51">
        <f>D51-D50</f>
        <v>0</v>
      </c>
      <c r="K51">
        <f>E51-E50</f>
        <v>0</v>
      </c>
      <c r="L51">
        <f>F51-F50</f>
        <v>0</v>
      </c>
      <c r="M51">
        <f>G51-G50</f>
        <v>0</v>
      </c>
    </row>
    <row r="52">
      <c s="14" r="A52"/>
      <c r="H52">
        <f>B52-B51</f>
        <v>0</v>
      </c>
      <c r="I52">
        <f>C52-C51</f>
        <v>0</v>
      </c>
      <c r="J52">
        <f>D52-D51</f>
        <v>0</v>
      </c>
      <c r="K52">
        <f>E52-E51</f>
        <v>0</v>
      </c>
      <c r="L52">
        <f>F52-F51</f>
        <v>0</v>
      </c>
      <c r="M52">
        <f>G52-G51</f>
        <v>0</v>
      </c>
    </row>
    <row r="53">
      <c s="14" r="A53"/>
      <c r="H53">
        <f>B53-B52</f>
        <v>0</v>
      </c>
      <c r="I53">
        <f>C53-C52</f>
        <v>0</v>
      </c>
      <c r="J53">
        <f>D53-D52</f>
        <v>0</v>
      </c>
      <c r="K53">
        <f>E53-E52</f>
        <v>0</v>
      </c>
      <c r="L53">
        <f>F53-F52</f>
        <v>0</v>
      </c>
      <c r="M53">
        <f>G53-G52</f>
        <v>0</v>
      </c>
    </row>
    <row r="54">
      <c s="14" r="A54"/>
      <c r="H54">
        <f>B54-B53</f>
        <v>0</v>
      </c>
      <c r="I54">
        <f>C54-C53</f>
        <v>0</v>
      </c>
      <c r="J54">
        <f>D54-D53</f>
        <v>0</v>
      </c>
      <c r="K54">
        <f>E54-E53</f>
        <v>0</v>
      </c>
      <c r="L54">
        <f>F54-F53</f>
        <v>0</v>
      </c>
      <c r="M54">
        <f>G54-G53</f>
        <v>0</v>
      </c>
    </row>
    <row r="55">
      <c s="14" r="A55"/>
      <c r="H55">
        <f>B55-B54</f>
        <v>0</v>
      </c>
      <c r="I55">
        <f>C55-C54</f>
        <v>0</v>
      </c>
      <c r="J55">
        <f>D55-D54</f>
        <v>0</v>
      </c>
      <c r="K55">
        <f>E55-E54</f>
        <v>0</v>
      </c>
      <c r="L55">
        <f>F55-F54</f>
        <v>0</v>
      </c>
      <c r="M55">
        <f>G55-G54</f>
        <v>0</v>
      </c>
    </row>
    <row r="56">
      <c s="14" r="A56"/>
      <c r="H56">
        <f>B56-B55</f>
        <v>0</v>
      </c>
      <c r="I56">
        <f>C56-C55</f>
        <v>0</v>
      </c>
      <c r="J56">
        <f>D56-D55</f>
        <v>0</v>
      </c>
      <c r="K56">
        <f>E56-E55</f>
        <v>0</v>
      </c>
      <c r="L56">
        <f>F56-F55</f>
        <v>0</v>
      </c>
      <c r="M56">
        <f>G56-G55</f>
        <v>0</v>
      </c>
    </row>
    <row r="57">
      <c s="14" r="A57"/>
      <c r="H57">
        <f>B57-B56</f>
        <v>0</v>
      </c>
      <c r="I57">
        <f>C57-C56</f>
        <v>0</v>
      </c>
      <c r="J57">
        <f>D57-D56</f>
        <v>0</v>
      </c>
      <c r="K57">
        <f>E57-E56</f>
        <v>0</v>
      </c>
      <c r="L57">
        <f>F57-F56</f>
        <v>0</v>
      </c>
      <c r="M57">
        <f>G57-G56</f>
        <v>0</v>
      </c>
    </row>
    <row r="58">
      <c s="14" r="A58"/>
      <c r="H58">
        <f>B58-B57</f>
        <v>0</v>
      </c>
      <c r="I58">
        <f>C58-C57</f>
        <v>0</v>
      </c>
      <c r="J58">
        <f>D58-D57</f>
        <v>0</v>
      </c>
      <c r="K58">
        <f>E58-E57</f>
        <v>0</v>
      </c>
      <c r="L58">
        <f>F58-F57</f>
        <v>0</v>
      </c>
      <c r="M58">
        <f>G58-G57</f>
        <v>0</v>
      </c>
    </row>
    <row r="59">
      <c s="14" r="A59"/>
      <c r="H59">
        <f>B59-B58</f>
        <v>0</v>
      </c>
      <c r="I59">
        <f>C59-C58</f>
        <v>0</v>
      </c>
      <c r="J59">
        <f>D59-D58</f>
        <v>0</v>
      </c>
      <c r="K59">
        <f>E59-E58</f>
        <v>0</v>
      </c>
      <c r="L59">
        <f>F59-F58</f>
        <v>0</v>
      </c>
      <c r="M59">
        <f>G59-G58</f>
        <v>0</v>
      </c>
    </row>
    <row r="60">
      <c s="14" r="A60"/>
      <c r="H60">
        <f>B60-B59</f>
        <v>0</v>
      </c>
      <c r="I60">
        <f>C60-C59</f>
        <v>0</v>
      </c>
      <c r="J60">
        <f>D60-D59</f>
        <v>0</v>
      </c>
      <c r="K60">
        <f>E60-E59</f>
        <v>0</v>
      </c>
      <c r="L60">
        <f>F60-F59</f>
        <v>0</v>
      </c>
      <c r="M60">
        <f>G60-G59</f>
        <v>0</v>
      </c>
    </row>
    <row r="61">
      <c s="14" r="A61"/>
      <c r="H61">
        <f>B61-B60</f>
        <v>0</v>
      </c>
      <c r="I61">
        <f>C61-C60</f>
        <v>0</v>
      </c>
      <c r="J61">
        <f>D61-D60</f>
        <v>0</v>
      </c>
      <c r="K61">
        <f>E61-E60</f>
        <v>0</v>
      </c>
      <c r="L61">
        <f>F61-F60</f>
        <v>0</v>
      </c>
      <c r="M61">
        <f>G61-G60</f>
        <v>0</v>
      </c>
    </row>
    <row r="62">
      <c s="14" r="A62"/>
      <c r="H62">
        <f>B62-B61</f>
        <v>0</v>
      </c>
      <c r="I62">
        <f>C62-C61</f>
        <v>0</v>
      </c>
      <c r="J62">
        <f>D62-D61</f>
        <v>0</v>
      </c>
      <c r="K62">
        <f>E62-E61</f>
        <v>0</v>
      </c>
      <c r="L62">
        <f>F62-F61</f>
        <v>0</v>
      </c>
      <c r="M62">
        <f>G62-G61</f>
        <v>0</v>
      </c>
    </row>
    <row r="63">
      <c s="14" r="A63"/>
      <c r="H63">
        <f>B63-B62</f>
        <v>0</v>
      </c>
      <c r="I63">
        <f>C63-C62</f>
        <v>0</v>
      </c>
      <c r="J63">
        <f>D63-D62</f>
        <v>0</v>
      </c>
      <c r="K63">
        <f>E63-E62</f>
        <v>0</v>
      </c>
      <c r="L63">
        <f>F63-F62</f>
        <v>0</v>
      </c>
      <c r="M63">
        <f>G63-G62</f>
        <v>0</v>
      </c>
    </row>
    <row r="64">
      <c s="14" r="A64"/>
      <c r="H64">
        <f>B64-B63</f>
        <v>0</v>
      </c>
      <c r="I64">
        <f>C64-C63</f>
        <v>0</v>
      </c>
      <c r="J64">
        <f>D64-D63</f>
        <v>0</v>
      </c>
      <c r="K64">
        <f>E64-E63</f>
        <v>0</v>
      </c>
      <c r="L64">
        <f>F64-F63</f>
        <v>0</v>
      </c>
      <c r="M64">
        <f>G64-G63</f>
        <v>0</v>
      </c>
    </row>
    <row r="65">
      <c s="14" r="A65"/>
      <c r="H65">
        <f>B65-B64</f>
        <v>0</v>
      </c>
      <c r="I65">
        <f>C65-C64</f>
        <v>0</v>
      </c>
      <c r="J65">
        <f>D65-D64</f>
        <v>0</v>
      </c>
      <c r="K65">
        <f>E65-E64</f>
        <v>0</v>
      </c>
      <c r="L65">
        <f>F65-F64</f>
        <v>0</v>
      </c>
      <c r="M65">
        <f>G65-G64</f>
        <v>0</v>
      </c>
    </row>
    <row r="66">
      <c s="14" r="A66"/>
      <c r="H66">
        <f>B66-B65</f>
        <v>0</v>
      </c>
      <c r="I66">
        <f>C66-C65</f>
        <v>0</v>
      </c>
      <c r="J66">
        <f>D66-D65</f>
        <v>0</v>
      </c>
      <c r="K66">
        <f>E66-E65</f>
        <v>0</v>
      </c>
      <c r="L66">
        <f>F66-F65</f>
        <v>0</v>
      </c>
      <c r="M66">
        <f>G66-G65</f>
        <v>0</v>
      </c>
    </row>
    <row r="67">
      <c s="14" r="A67"/>
      <c r="H67">
        <f>B67-B66</f>
        <v>0</v>
      </c>
      <c r="I67">
        <f>C67-C66</f>
        <v>0</v>
      </c>
      <c r="J67">
        <f>D67-D66</f>
        <v>0</v>
      </c>
      <c r="K67">
        <f>E67-E66</f>
        <v>0</v>
      </c>
      <c r="L67">
        <f>F67-F66</f>
        <v>0</v>
      </c>
      <c r="M67">
        <f>G67-G66</f>
        <v>0</v>
      </c>
    </row>
    <row r="68">
      <c s="14" r="A68"/>
      <c r="H68">
        <f>B68-B67</f>
        <v>0</v>
      </c>
      <c r="I68">
        <f>C68-C67</f>
        <v>0</v>
      </c>
      <c r="J68">
        <f>D68-D67</f>
        <v>0</v>
      </c>
      <c r="K68">
        <f>E68-E67</f>
        <v>0</v>
      </c>
      <c r="L68">
        <f>F68-F67</f>
        <v>0</v>
      </c>
      <c r="M68">
        <f>G68-G67</f>
        <v>0</v>
      </c>
    </row>
    <row r="69">
      <c s="14" r="A69"/>
      <c r="H69">
        <f>B69-B68</f>
        <v>0</v>
      </c>
      <c r="I69">
        <f>C69-C68</f>
        <v>0</v>
      </c>
      <c r="J69">
        <f>D69-D68</f>
        <v>0</v>
      </c>
      <c r="K69">
        <f>E69-E68</f>
        <v>0</v>
      </c>
      <c r="L69">
        <f>F69-F68</f>
        <v>0</v>
      </c>
      <c r="M69">
        <f>G69-G68</f>
        <v>0</v>
      </c>
    </row>
    <row r="70">
      <c s="14" r="A70"/>
      <c r="H70">
        <f>B70-B69</f>
        <v>0</v>
      </c>
      <c r="I70">
        <f>C70-C69</f>
        <v>0</v>
      </c>
      <c r="J70">
        <f>D70-D69</f>
        <v>0</v>
      </c>
      <c r="K70">
        <f>E70-E69</f>
        <v>0</v>
      </c>
      <c r="L70">
        <f>F70-F69</f>
        <v>0</v>
      </c>
      <c r="M70">
        <f>G70-G69</f>
        <v>0</v>
      </c>
      <c r="O70">
        <v>25064</v>
      </c>
      <c r="P70">
        <v>13584</v>
      </c>
      <c r="Q70">
        <f>O70-O69</f>
        <v>25064</v>
      </c>
      <c r="R70">
        <f>P70-P69</f>
        <v>13584</v>
      </c>
    </row>
    <row r="71">
      <c s="14" r="A71"/>
      <c r="H71">
        <f>B71-B70</f>
        <v>0</v>
      </c>
      <c r="I71">
        <f>C71-C70</f>
        <v>0</v>
      </c>
      <c r="J71">
        <f>D71-D70</f>
        <v>0</v>
      </c>
      <c r="K71">
        <f>E71-E70</f>
        <v>0</v>
      </c>
      <c r="L71">
        <f>F71-F70</f>
        <v>0</v>
      </c>
      <c r="M71">
        <f>G71-G70</f>
        <v>0</v>
      </c>
      <c r="O71">
        <v>25399</v>
      </c>
      <c r="P71">
        <v>13751</v>
      </c>
      <c r="Q71">
        <f>O71-O70</f>
        <v>335</v>
      </c>
      <c r="R71">
        <f>P71-P70</f>
        <v>167</v>
      </c>
    </row>
    <row r="72">
      <c s="14" r="A72"/>
      <c r="H72">
        <f>B72-B71</f>
        <v>0</v>
      </c>
      <c r="I72">
        <f>C72-C71</f>
        <v>0</v>
      </c>
      <c r="J72">
        <f>D72-D71</f>
        <v>0</v>
      </c>
      <c r="K72">
        <f>E72-E71</f>
        <v>0</v>
      </c>
      <c r="L72">
        <f>F72-F71</f>
        <v>0</v>
      </c>
      <c r="M72">
        <f>G72-G71</f>
        <v>0</v>
      </c>
      <c r="O72">
        <v>26228</v>
      </c>
      <c r="P72">
        <v>14169</v>
      </c>
      <c r="Q72">
        <f>O72-O71</f>
        <v>829</v>
      </c>
      <c r="R72">
        <f>P72-P71</f>
        <v>418</v>
      </c>
    </row>
    <row r="73">
      <c s="14" r="A73"/>
      <c r="H73">
        <f>B73-B72</f>
        <v>0</v>
      </c>
      <c r="I73">
        <f>C73-C72</f>
        <v>0</v>
      </c>
      <c r="J73">
        <f>D73-D72</f>
        <v>0</v>
      </c>
      <c r="K73">
        <f>E73-E72</f>
        <v>0</v>
      </c>
      <c r="L73">
        <f>F73-F72</f>
        <v>0</v>
      </c>
      <c r="M73">
        <f>G73-G72</f>
        <v>0</v>
      </c>
      <c r="O73">
        <v>26365</v>
      </c>
      <c r="P73">
        <v>14242</v>
      </c>
      <c r="Q73">
        <f>O73-O72</f>
        <v>137</v>
      </c>
      <c r="R73">
        <f>P73-P72</f>
        <v>73</v>
      </c>
    </row>
    <row r="74">
      <c s="14" r="A74"/>
      <c r="H74">
        <f>B74-B73</f>
        <v>0</v>
      </c>
      <c r="I74">
        <f>C74-C73</f>
        <v>0</v>
      </c>
      <c r="J74">
        <f>D74-D73</f>
        <v>0</v>
      </c>
      <c r="K74">
        <f>E74-E73</f>
        <v>0</v>
      </c>
      <c r="L74">
        <f>F74-F73</f>
        <v>0</v>
      </c>
      <c r="M74">
        <f>G74-G73</f>
        <v>0</v>
      </c>
      <c r="O74">
        <v>26432</v>
      </c>
      <c r="P74">
        <v>14281</v>
      </c>
      <c r="Q74">
        <f>O74-O73</f>
        <v>67</v>
      </c>
      <c r="R74">
        <f>P74-P73</f>
        <v>39</v>
      </c>
    </row>
    <row r="75">
      <c s="14" r="A75"/>
      <c r="H75">
        <f>B75-B74</f>
        <v>0</v>
      </c>
      <c r="I75">
        <f>C75-C74</f>
        <v>0</v>
      </c>
      <c r="J75">
        <f>D75-D74</f>
        <v>0</v>
      </c>
      <c r="K75">
        <f>E75-E74</f>
        <v>0</v>
      </c>
      <c r="L75">
        <f>F75-F74</f>
        <v>0</v>
      </c>
      <c r="M75">
        <f>G75-G74</f>
        <v>0</v>
      </c>
      <c r="O75">
        <v>26520</v>
      </c>
      <c r="P75">
        <v>14333</v>
      </c>
      <c r="Q75">
        <f>O75-O74</f>
        <v>88</v>
      </c>
      <c r="R75">
        <f>P75-P74</f>
        <v>52</v>
      </c>
    </row>
    <row r="76">
      <c s="14" r="A76"/>
      <c r="H76">
        <f>B76-B75</f>
        <v>0</v>
      </c>
      <c r="I76">
        <f>C76-C75</f>
        <v>0</v>
      </c>
      <c r="J76">
        <f>D76-D75</f>
        <v>0</v>
      </c>
      <c r="K76">
        <f>E76-E75</f>
        <v>0</v>
      </c>
      <c r="L76">
        <f>F76-F75</f>
        <v>0</v>
      </c>
      <c r="M76">
        <f>G76-G75</f>
        <v>0</v>
      </c>
      <c r="O76">
        <v>26910</v>
      </c>
      <c r="P76">
        <v>14535</v>
      </c>
      <c r="Q76">
        <f>O76-O75</f>
        <v>390</v>
      </c>
      <c r="R76">
        <f>P76-P75</f>
        <v>202</v>
      </c>
    </row>
    <row r="77">
      <c s="14" r="A77"/>
      <c r="H77">
        <f>B77-B76</f>
        <v>0</v>
      </c>
      <c r="I77">
        <f>C77-C76</f>
        <v>0</v>
      </c>
      <c r="J77">
        <f>D77-D76</f>
        <v>0</v>
      </c>
      <c r="K77">
        <f>E77-E76</f>
        <v>0</v>
      </c>
      <c r="L77">
        <f>F77-F76</f>
        <v>0</v>
      </c>
      <c r="M77">
        <f>G77-G76</f>
        <v>0</v>
      </c>
      <c r="O77">
        <v>27152</v>
      </c>
      <c r="P77">
        <v>14665</v>
      </c>
      <c r="Q77">
        <f>O77-O76</f>
        <v>242</v>
      </c>
      <c r="R77">
        <f>P77-P76</f>
        <v>130</v>
      </c>
    </row>
    <row r="78">
      <c s="14" r="A78"/>
      <c r="H78">
        <f>B78-B77</f>
        <v>0</v>
      </c>
      <c r="I78">
        <f>C78-C77</f>
        <v>0</v>
      </c>
      <c r="J78">
        <f>D78-D77</f>
        <v>0</v>
      </c>
      <c r="K78">
        <f>E78-E77</f>
        <v>0</v>
      </c>
      <c r="L78">
        <f>F78-F77</f>
        <v>0</v>
      </c>
      <c r="M78">
        <f>G78-G77</f>
        <v>0</v>
      </c>
      <c r="O78">
        <v>27211</v>
      </c>
      <c r="P78">
        <v>14704</v>
      </c>
      <c r="Q78">
        <f>O78-O77</f>
        <v>59</v>
      </c>
      <c r="R78">
        <f>P78-P77</f>
        <v>39</v>
      </c>
    </row>
    <row r="79">
      <c s="14" r="A79"/>
      <c r="H79">
        <f>B79-B78</f>
        <v>0</v>
      </c>
      <c r="I79">
        <f>C79-C78</f>
        <v>0</v>
      </c>
      <c r="J79">
        <f>D79-D78</f>
        <v>0</v>
      </c>
      <c r="K79">
        <f>E79-E78</f>
        <v>0</v>
      </c>
      <c r="L79">
        <f>F79-F78</f>
        <v>0</v>
      </c>
      <c r="M79">
        <f>G79-G78</f>
        <v>0</v>
      </c>
      <c r="O79">
        <v>27260</v>
      </c>
      <c r="P79">
        <v>14733</v>
      </c>
      <c r="Q79">
        <f>O79-O78</f>
        <v>49</v>
      </c>
      <c r="R79">
        <f>P79-P78</f>
        <v>29</v>
      </c>
    </row>
    <row r="80">
      <c s="14" r="A80"/>
      <c r="H80">
        <f>B80-B79</f>
        <v>0</v>
      </c>
      <c r="I80">
        <f>C80-C79</f>
        <v>0</v>
      </c>
      <c r="J80">
        <f>D80-D79</f>
        <v>0</v>
      </c>
      <c r="K80">
        <f>E80-E79</f>
        <v>0</v>
      </c>
      <c r="L80">
        <f>F80-F79</f>
        <v>0</v>
      </c>
      <c r="M80">
        <f>G80-G79</f>
        <v>0</v>
      </c>
      <c r="O80">
        <v>27365</v>
      </c>
      <c r="P80">
        <v>14790</v>
      </c>
      <c r="Q80">
        <f>O80-O79</f>
        <v>105</v>
      </c>
      <c r="R80">
        <f>P80-P79</f>
        <v>57</v>
      </c>
    </row>
    <row r="81">
      <c s="14" r="A81"/>
      <c r="H81">
        <f>B81-B80</f>
        <v>0</v>
      </c>
      <c r="I81">
        <f>C81-C80</f>
        <v>0</v>
      </c>
      <c r="J81">
        <f>D81-D80</f>
        <v>0</v>
      </c>
      <c r="K81">
        <f>E81-E80</f>
        <v>0</v>
      </c>
      <c r="L81">
        <f>F81-F80</f>
        <v>0</v>
      </c>
      <c r="M81">
        <f>G81-G80</f>
        <v>0</v>
      </c>
      <c r="O81">
        <v>27634</v>
      </c>
      <c r="P81">
        <v>14931</v>
      </c>
      <c r="Q81">
        <f>O81-O80</f>
        <v>269</v>
      </c>
      <c r="R81">
        <f>P81-P80</f>
        <v>141</v>
      </c>
    </row>
    <row r="82">
      <c s="14" r="A82"/>
      <c r="H82">
        <f>B82-B81</f>
        <v>0</v>
      </c>
      <c r="I82">
        <f>C82-C81</f>
        <v>0</v>
      </c>
      <c r="J82">
        <f>D82-D81</f>
        <v>0</v>
      </c>
      <c r="K82">
        <f>E82-E81</f>
        <v>0</v>
      </c>
      <c r="L82">
        <f>F82-F81</f>
        <v>0</v>
      </c>
      <c r="M82">
        <f>G82-G81</f>
        <v>0</v>
      </c>
      <c r="O82">
        <v>27683</v>
      </c>
      <c r="P82">
        <v>14956</v>
      </c>
      <c r="Q82">
        <f>O82-O81</f>
        <v>49</v>
      </c>
      <c r="R82">
        <f>P82-P81</f>
        <v>25</v>
      </c>
    </row>
    <row r="83">
      <c s="14" r="A83"/>
      <c r="H83">
        <f>B83-B82</f>
        <v>0</v>
      </c>
      <c r="I83">
        <f>C83-C82</f>
        <v>0</v>
      </c>
      <c r="J83">
        <f>D83-D82</f>
        <v>0</v>
      </c>
      <c r="K83">
        <f>E83-E82</f>
        <v>0</v>
      </c>
      <c r="L83">
        <f>F83-F82</f>
        <v>0</v>
      </c>
      <c r="M83">
        <f>G83-G82</f>
        <v>0</v>
      </c>
      <c r="O83">
        <v>27792</v>
      </c>
      <c r="P83">
        <v>15021</v>
      </c>
      <c r="Q83">
        <f>O83-O82</f>
        <v>109</v>
      </c>
      <c r="R83">
        <f>P83-P82</f>
        <v>65</v>
      </c>
    </row>
    <row r="84">
      <c s="14" r="A84"/>
      <c r="H84">
        <f>B84-B83</f>
        <v>0</v>
      </c>
      <c r="I84">
        <f>C84-C83</f>
        <v>0</v>
      </c>
      <c r="J84">
        <f>D84-D83</f>
        <v>0</v>
      </c>
      <c r="K84">
        <f>E84-E83</f>
        <v>0</v>
      </c>
      <c r="L84">
        <f>F84-F83</f>
        <v>0</v>
      </c>
      <c r="M84">
        <f>G84-G83</f>
        <v>0</v>
      </c>
      <c r="O84">
        <v>27823</v>
      </c>
      <c r="P84">
        <v>15040</v>
      </c>
      <c r="Q84">
        <f>O84-O83</f>
        <v>31</v>
      </c>
      <c r="R84">
        <f>P84-P83</f>
        <v>19</v>
      </c>
    </row>
    <row r="85">
      <c s="14" r="A85"/>
      <c r="H85">
        <f>B85-B84</f>
        <v>0</v>
      </c>
      <c r="I85">
        <f>C85-C84</f>
        <v>0</v>
      </c>
      <c r="J85">
        <f>D85-D84</f>
        <v>0</v>
      </c>
      <c r="K85">
        <f>E85-E84</f>
        <v>0</v>
      </c>
      <c r="L85">
        <f>F85-F84</f>
        <v>0</v>
      </c>
      <c r="M85">
        <f>G85-G84</f>
        <v>0</v>
      </c>
      <c r="O85">
        <v>27844</v>
      </c>
      <c r="P85">
        <v>15053</v>
      </c>
      <c r="Q85">
        <f>O85-O84</f>
        <v>21</v>
      </c>
      <c r="R85">
        <f>P85-P84</f>
        <v>13</v>
      </c>
    </row>
    <row r="86">
      <c s="14" r="A86"/>
      <c r="H86">
        <f>B86-B85</f>
        <v>0</v>
      </c>
      <c r="I86">
        <f>C86-C85</f>
        <v>0</v>
      </c>
      <c r="J86">
        <f>D86-D85</f>
        <v>0</v>
      </c>
      <c r="K86">
        <f>E86-E85</f>
        <v>0</v>
      </c>
      <c r="L86">
        <f>F86-F85</f>
        <v>0</v>
      </c>
      <c r="M86">
        <f>G86-G85</f>
        <v>0</v>
      </c>
      <c r="O86">
        <v>28346</v>
      </c>
      <c r="P86">
        <v>15338</v>
      </c>
      <c r="Q86">
        <f>O86-O85</f>
        <v>502</v>
      </c>
      <c r="R86">
        <f>P86-P85</f>
        <v>285</v>
      </c>
    </row>
    <row r="87">
      <c s="14" r="A87"/>
      <c r="H87">
        <f>B87-B86</f>
        <v>0</v>
      </c>
      <c r="I87">
        <f>C87-C86</f>
        <v>0</v>
      </c>
      <c r="J87">
        <f>D87-D86</f>
        <v>0</v>
      </c>
      <c r="K87">
        <f>E87-E86</f>
        <v>0</v>
      </c>
      <c r="L87">
        <f>F87-F86</f>
        <v>0</v>
      </c>
      <c r="M87">
        <f>G87-G86</f>
        <v>0</v>
      </c>
      <c r="O87">
        <v>30033</v>
      </c>
      <c r="P87">
        <v>16339</v>
      </c>
      <c r="Q87">
        <f>O87-O86</f>
        <v>1687</v>
      </c>
      <c r="R87">
        <f>P87-P86</f>
        <v>1001</v>
      </c>
    </row>
    <row r="88">
      <c s="14" r="A88"/>
      <c r="H88">
        <f>B88-B87</f>
        <v>0</v>
      </c>
      <c r="I88">
        <f>C88-C87</f>
        <v>0</v>
      </c>
      <c r="J88">
        <f>D88-D87</f>
        <v>0</v>
      </c>
      <c r="K88">
        <f>E88-E87</f>
        <v>0</v>
      </c>
      <c r="L88">
        <f>F88-F87</f>
        <v>0</v>
      </c>
      <c r="M88">
        <f>G88-G87</f>
        <v>0</v>
      </c>
      <c r="O88">
        <v>30069</v>
      </c>
      <c r="P88">
        <v>16363</v>
      </c>
      <c r="Q88">
        <f>O88-O87</f>
        <v>36</v>
      </c>
      <c r="R88">
        <f>P88-P87</f>
        <v>24</v>
      </c>
    </row>
    <row r="89">
      <c s="14" r="A89"/>
      <c r="H89">
        <f>B89-B88</f>
        <v>0</v>
      </c>
      <c r="I89">
        <f>C89-C88</f>
        <v>0</v>
      </c>
      <c r="J89">
        <f>D89-D88</f>
        <v>0</v>
      </c>
      <c r="K89">
        <f>E89-E88</f>
        <v>0</v>
      </c>
      <c r="L89">
        <f>F89-F88</f>
        <v>0</v>
      </c>
      <c r="M89">
        <f>G89-G88</f>
        <v>0</v>
      </c>
    </row>
    <row r="90">
      <c s="14" r="A90"/>
      <c r="H90">
        <f>B90-B89</f>
        <v>0</v>
      </c>
      <c r="I90">
        <f>C90-C89</f>
        <v>0</v>
      </c>
      <c r="J90">
        <f>D90-D89</f>
        <v>0</v>
      </c>
      <c r="K90">
        <f>E90-E89</f>
        <v>0</v>
      </c>
      <c r="L90">
        <f>F90-F89</f>
        <v>0</v>
      </c>
      <c r="M90">
        <f>G90-G89</f>
        <v>0</v>
      </c>
    </row>
    <row r="91">
      <c s="14" r="A91"/>
      <c r="H91">
        <f>B91-B90</f>
        <v>0</v>
      </c>
      <c r="I91">
        <f>C91-C90</f>
        <v>0</v>
      </c>
      <c r="J91">
        <f>D91-D90</f>
        <v>0</v>
      </c>
      <c r="K91">
        <f>E91-E90</f>
        <v>0</v>
      </c>
      <c r="L91">
        <f>F91-F90</f>
        <v>0</v>
      </c>
      <c r="M91">
        <f>G91-G90</f>
        <v>0</v>
      </c>
    </row>
    <row r="92">
      <c s="14" r="A92"/>
      <c r="H92">
        <f>B92-B91</f>
        <v>0</v>
      </c>
      <c r="I92">
        <f>C92-C91</f>
        <v>0</v>
      </c>
      <c r="J92">
        <f>D92-D91</f>
        <v>0</v>
      </c>
      <c r="K92">
        <f>E92-E91</f>
        <v>0</v>
      </c>
      <c r="L92">
        <f>F92-F91</f>
        <v>0</v>
      </c>
      <c r="M92">
        <f>G92-G91</f>
        <v>0</v>
      </c>
    </row>
    <row r="93">
      <c s="14" r="A93"/>
      <c r="H93">
        <f>B93-B92</f>
        <v>0</v>
      </c>
      <c r="I93">
        <f>C93-C92</f>
        <v>0</v>
      </c>
      <c r="J93">
        <f>D93-D92</f>
        <v>0</v>
      </c>
      <c r="K93">
        <f>E93-E92</f>
        <v>0</v>
      </c>
      <c r="L93">
        <f>F93-F92</f>
        <v>0</v>
      </c>
      <c r="M93">
        <f>G93-G92</f>
        <v>0</v>
      </c>
    </row>
    <row r="94">
      <c s="14" r="A94"/>
    </row>
    <row r="95">
      <c s="14" r="A95"/>
    </row>
    <row r="96">
      <c s="14" r="A96"/>
    </row>
    <row r="97">
      <c s="14" r="A97"/>
    </row>
    <row r="98">
      <c s="14" r="A98"/>
    </row>
  </sheetData>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customWidth="1" max="1" width="85.0"/>
    <col min="2" customWidth="1" max="2" width="55.57"/>
    <col min="3" customWidth="1" max="3" width="18.57"/>
    <col min="4" customWidth="1" max="4" width="17.14"/>
    <col min="5" customWidth="1" max="5" width="16.57"/>
    <col min="6" customWidth="1" max="6" width="15.29"/>
  </cols>
  <sheetData>
    <row r="1">
      <c t="s" s="31" r="A1">
        <v>71</v>
      </c>
      <c t="s" s="32" r="B1">
        <v>72</v>
      </c>
      <c t="s" s="32" r="C1">
        <v>72</v>
      </c>
      <c t="s" s="32" r="D1">
        <v>72</v>
      </c>
      <c t="s" s="32" r="E1">
        <v>72</v>
      </c>
      <c t="s" s="32" r="F1">
        <v>72</v>
      </c>
    </row>
    <row r="2">
      <c t="s" r="A2">
        <v>73</v>
      </c>
    </row>
    <row r="4">
      <c t="s" r="A4">
        <v>74</v>
      </c>
    </row>
    <row r="5">
      <c s="11" r="A5"/>
    </row>
    <row r="7">
      <c s="11" r="A7"/>
    </row>
    <row r="9">
      <c s="11" r="A9"/>
    </row>
    <row r="11">
      <c s="11" r="A11"/>
    </row>
    <row r="13">
      <c s="11" r="A13"/>
    </row>
    <row r="15">
      <c s="11" r="A15"/>
    </row>
    <row r="17">
      <c s="11" r="A17"/>
    </row>
    <row r="19">
      <c s="11" r="A19"/>
    </row>
  </sheetData>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customWidth="1" max="1" width="36.43"/>
    <col min="2" customWidth="1" max="2" width="7.86"/>
    <col min="3" customWidth="1" max="3" width="16.71"/>
    <col min="4" customWidth="1" max="4" width="14.29"/>
    <col min="5" customWidth="1" max="5" width="78.57"/>
    <col min="7" customWidth="1" max="7" width="6.71"/>
  </cols>
  <sheetData>
    <row r="1">
      <c t="s" s="28" r="A1">
        <v>75</v>
      </c>
      <c s="28" r="B1"/>
      <c s="28" r="C1"/>
      <c s="28" r="D1"/>
      <c s="28" r="E1"/>
      <c s="28" r="F1"/>
      <c s="28" r="G1"/>
      <c s="28" r="H1"/>
    </row>
    <row r="2">
      <c t="s" s="20" r="A2">
        <v>76</v>
      </c>
      <c t="s" s="9" r="B2">
        <v>77</v>
      </c>
      <c s="9" r="C2"/>
      <c s="9" r="D2"/>
      <c t="s" s="9" r="E2">
        <v>78</v>
      </c>
      <c s="9" r="F2"/>
      <c s="9" r="G2"/>
      <c s="9" r="H2"/>
    </row>
    <row r="3">
      <c t="s" s="4" r="A3">
        <v>79</v>
      </c>
    </row>
    <row r="4">
      <c t="s" r="A4">
        <v>80</v>
      </c>
      <c r="B4">
        <v>8</v>
      </c>
    </row>
    <row r="5">
      <c t="s" r="A5">
        <v>81</v>
      </c>
      <c r="B5">
        <v>2</v>
      </c>
    </row>
    <row r="6">
      <c t="s" r="A6">
        <v>82</v>
      </c>
      <c r="B6">
        <v>4</v>
      </c>
    </row>
    <row r="8">
      <c t="s" s="4" r="A8">
        <v>83</v>
      </c>
    </row>
    <row r="9">
      <c t="s" r="A9">
        <v>84</v>
      </c>
      <c r="B9">
        <v>4</v>
      </c>
      <c t="s" r="C9">
        <v>85</v>
      </c>
      <c t="s" r="E9">
        <v>86</v>
      </c>
    </row>
    <row r="10">
      <c t="s" r="A10">
        <v>87</v>
      </c>
      <c r="B10">
        <v>1</v>
      </c>
      <c t="s" r="C10">
        <v>85</v>
      </c>
      <c t="s" r="E10">
        <v>86</v>
      </c>
    </row>
    <row r="11">
      <c t="s" r="A11">
        <v>88</v>
      </c>
      <c r="B11">
        <v>2</v>
      </c>
    </row>
    <row r="13">
      <c t="s" s="4" r="A13">
        <v>89</v>
      </c>
      <c s="23" r="D13"/>
    </row>
    <row r="14">
      <c t="s" r="A14">
        <v>90</v>
      </c>
      <c r="B14">
        <v>8</v>
      </c>
    </row>
    <row r="15">
      <c t="s" r="A15">
        <v>88</v>
      </c>
      <c r="B15">
        <v>2</v>
      </c>
    </row>
    <row r="17">
      <c t="s" s="4" r="A17">
        <v>91</v>
      </c>
    </row>
    <row r="18">
      <c t="s" r="A18">
        <v>92</v>
      </c>
      <c r="B18">
        <v>4</v>
      </c>
    </row>
    <row r="19">
      <c t="s" r="A19">
        <v>93</v>
      </c>
      <c r="B19">
        <v>2</v>
      </c>
    </row>
    <row r="20">
      <c t="s" r="A20">
        <v>94</v>
      </c>
      <c r="B20">
        <v>2</v>
      </c>
    </row>
    <row r="21">
      <c t="s" r="A21">
        <v>95</v>
      </c>
      <c r="B21">
        <v>1</v>
      </c>
    </row>
    <row r="22">
      <c t="s" r="A22">
        <v>88</v>
      </c>
      <c r="B22">
        <v>2</v>
      </c>
    </row>
    <row r="24">
      <c t="s" s="4" r="A24">
        <v>96</v>
      </c>
    </row>
    <row r="25">
      <c t="s" r="A25">
        <v>97</v>
      </c>
      <c t="s" s="23" r="B25">
        <v>98</v>
      </c>
      <c t="s" r="C25">
        <v>85</v>
      </c>
      <c t="s" r="E25">
        <v>99</v>
      </c>
    </row>
    <row r="26">
      <c t="s" r="A26">
        <v>100</v>
      </c>
      <c t="s" s="23" r="B26">
        <v>101</v>
      </c>
      <c t="s" r="C26">
        <v>85</v>
      </c>
      <c t="s" r="E26">
        <v>99</v>
      </c>
    </row>
    <row r="27">
      <c t="s" r="A27">
        <v>88</v>
      </c>
      <c r="B27">
        <v>2</v>
      </c>
      <c t="s" r="E27">
        <v>102</v>
      </c>
    </row>
    <row r="29">
      <c t="s" s="4" r="A29">
        <v>103</v>
      </c>
    </row>
    <row r="30">
      <c t="s" r="A30">
        <v>104</v>
      </c>
      <c r="B30">
        <v>4</v>
      </c>
    </row>
    <row r="31">
      <c t="s" r="A31">
        <v>105</v>
      </c>
      <c r="B31">
        <v>2</v>
      </c>
    </row>
    <row r="32">
      <c t="s" r="A32">
        <v>106</v>
      </c>
      <c r="B32">
        <v>1</v>
      </c>
    </row>
    <row r="36">
      <c t="s" s="20" r="A36">
        <v>107</v>
      </c>
      <c t="s" s="9" r="B36">
        <v>108</v>
      </c>
      <c t="s" s="9" r="C36">
        <v>109</v>
      </c>
      <c t="s" s="9" r="D36">
        <v>110</v>
      </c>
      <c s="20" r="E36"/>
      <c s="9" r="F36"/>
      <c s="9" r="G36"/>
      <c s="9" r="H36"/>
    </row>
    <row r="37">
      <c t="s" s="4" r="A37">
        <v>111</v>
      </c>
      <c s="4" r="E37"/>
      <c s="9" r="F37"/>
      <c s="9" r="G37"/>
      <c s="9" r="H37"/>
    </row>
    <row r="38">
      <c t="s" r="A38">
        <v>112</v>
      </c>
      <c t="s" r="B38">
        <v>113</v>
      </c>
    </row>
    <row r="40">
      <c t="s" s="4" r="A40">
        <v>79</v>
      </c>
      <c s="4" r="E40"/>
      <c s="9" r="F40"/>
      <c s="9" r="G40"/>
      <c s="9" r="H40"/>
    </row>
    <row r="41">
      <c t="s" r="A41">
        <v>114</v>
      </c>
      <c t="s" r="B41">
        <v>115</v>
      </c>
    </row>
    <row r="42">
      <c t="s" r="A42">
        <v>116</v>
      </c>
      <c t="s" r="B42">
        <v>117</v>
      </c>
    </row>
    <row r="43">
      <c t="s" r="A43">
        <v>118</v>
      </c>
      <c t="s" r="B43">
        <v>119</v>
      </c>
    </row>
    <row r="44">
      <c t="s" r="A44">
        <v>120</v>
      </c>
      <c t="s" r="B44">
        <v>121</v>
      </c>
    </row>
    <row r="46">
      <c t="s" s="4" r="A46">
        <v>83</v>
      </c>
      <c s="4" r="E46"/>
      <c s="9" r="F46"/>
      <c s="9" r="G46"/>
      <c s="9" r="H46"/>
    </row>
    <row r="47">
      <c t="s" r="A47">
        <v>114</v>
      </c>
      <c t="s" r="B47">
        <v>122</v>
      </c>
    </row>
    <row r="48">
      <c t="s" r="A48">
        <v>116</v>
      </c>
      <c t="s" r="B48">
        <v>123</v>
      </c>
    </row>
    <row r="49">
      <c t="s" r="A49">
        <v>124</v>
      </c>
      <c t="s" r="B49">
        <v>121</v>
      </c>
    </row>
    <row r="50">
      <c t="s" r="A50">
        <v>118</v>
      </c>
      <c t="s" r="B50">
        <v>125</v>
      </c>
    </row>
    <row r="51">
      <c t="s" r="A51">
        <v>126</v>
      </c>
      <c t="s" r="B51">
        <v>127</v>
      </c>
    </row>
    <row r="52">
      <c t="s" r="A52">
        <v>128</v>
      </c>
      <c t="s" r="B52">
        <v>129</v>
      </c>
    </row>
    <row r="53">
      <c t="s" r="A53">
        <v>130</v>
      </c>
      <c t="s" r="B53">
        <v>131</v>
      </c>
    </row>
    <row r="54">
      <c t="s" r="A54">
        <v>132</v>
      </c>
      <c t="s" r="B54">
        <v>133</v>
      </c>
    </row>
    <row r="56">
      <c t="s" s="4" r="A56">
        <v>89</v>
      </c>
      <c s="4" r="E56"/>
      <c s="9" r="F56"/>
      <c s="9" r="G56"/>
      <c s="9" r="H56"/>
    </row>
    <row r="57">
      <c t="s" r="A57">
        <v>114</v>
      </c>
      <c t="s" r="B57">
        <v>134</v>
      </c>
    </row>
    <row r="58">
      <c t="s" r="A58">
        <v>116</v>
      </c>
      <c t="s" r="B58">
        <v>135</v>
      </c>
    </row>
    <row r="59">
      <c t="s" r="A59">
        <v>124</v>
      </c>
      <c t="s" r="B59">
        <v>136</v>
      </c>
    </row>
    <row r="60">
      <c t="s" r="A60">
        <v>118</v>
      </c>
      <c t="s" r="B60">
        <v>119</v>
      </c>
    </row>
    <row r="61">
      <c t="s" r="A61">
        <v>126</v>
      </c>
      <c t="s" r="B61">
        <v>125</v>
      </c>
    </row>
    <row r="62">
      <c t="s" r="A62">
        <v>137</v>
      </c>
      <c t="s" r="B62">
        <v>138</v>
      </c>
    </row>
    <row r="63">
      <c t="s" r="A63">
        <v>139</v>
      </c>
      <c t="s" r="B63">
        <v>140</v>
      </c>
    </row>
    <row r="64">
      <c t="s" r="A64">
        <v>141</v>
      </c>
      <c t="s" r="B64">
        <v>142</v>
      </c>
    </row>
    <row r="66">
      <c t="s" s="4" r="A66">
        <v>143</v>
      </c>
      <c s="4" r="E66"/>
      <c s="9" r="F66"/>
      <c s="9" r="G66"/>
      <c s="9" r="H66"/>
    </row>
    <row r="67">
      <c t="s" r="A67">
        <v>114</v>
      </c>
      <c t="s" r="B67">
        <v>144</v>
      </c>
    </row>
    <row r="68">
      <c t="s" r="A68">
        <v>116</v>
      </c>
      <c t="s" r="B68">
        <v>145</v>
      </c>
    </row>
    <row r="69">
      <c t="s" r="A69">
        <v>118</v>
      </c>
      <c t="s" r="B69">
        <v>119</v>
      </c>
    </row>
    <row r="70">
      <c t="s" r="A70">
        <v>128</v>
      </c>
      <c t="s" r="B70">
        <v>146</v>
      </c>
    </row>
    <row r="72">
      <c t="s" s="4" r="A72">
        <v>96</v>
      </c>
      <c s="4" r="E72"/>
      <c s="9" r="F72"/>
      <c s="9" r="G72"/>
      <c s="9" r="H72"/>
    </row>
    <row r="73">
      <c t="s" r="A73">
        <v>114</v>
      </c>
      <c t="s" r="B73">
        <v>147</v>
      </c>
    </row>
    <row r="74">
      <c t="s" r="A74">
        <v>148</v>
      </c>
      <c t="s" r="B74">
        <v>149</v>
      </c>
    </row>
    <row r="75">
      <c t="s" r="A75">
        <v>118</v>
      </c>
      <c t="s" r="B75">
        <v>125</v>
      </c>
    </row>
    <row r="76">
      <c t="s" r="A76">
        <v>150</v>
      </c>
      <c t="s" r="B76">
        <v>151</v>
      </c>
    </row>
    <row r="78">
      <c t="s" s="4" r="A78">
        <v>152</v>
      </c>
      <c s="4" r="E78"/>
      <c s="9" r="F78"/>
      <c s="9" r="G78"/>
      <c s="9" r="H78"/>
    </row>
    <row r="79">
      <c t="s" r="A79">
        <v>114</v>
      </c>
      <c t="s" r="B79">
        <v>153</v>
      </c>
    </row>
    <row r="80">
      <c t="s" r="A80">
        <v>116</v>
      </c>
      <c t="s" r="B80">
        <v>145</v>
      </c>
    </row>
    <row r="81">
      <c t="s" r="A81">
        <v>118</v>
      </c>
      <c t="s" r="B81">
        <v>119</v>
      </c>
    </row>
    <row r="82">
      <c t="s" r="A82">
        <v>128</v>
      </c>
      <c t="s" r="B82">
        <v>154</v>
      </c>
    </row>
    <row r="84">
      <c t="s" s="4" r="A84">
        <v>103</v>
      </c>
      <c s="4" r="E84"/>
      <c s="9" r="F84"/>
      <c s="9" r="G84"/>
      <c s="9" r="H84"/>
    </row>
    <row r="85">
      <c t="s" r="A85">
        <v>114</v>
      </c>
      <c t="s" r="B85">
        <v>155</v>
      </c>
    </row>
    <row r="86">
      <c t="s" r="A86">
        <v>118</v>
      </c>
      <c t="s" r="B86">
        <v>156</v>
      </c>
    </row>
    <row r="88">
      <c t="s" s="20" r="A88">
        <v>157</v>
      </c>
      <c t="s" s="9" r="B88">
        <v>108</v>
      </c>
    </row>
    <row r="89">
      <c t="s" s="4" r="A89">
        <v>111</v>
      </c>
    </row>
    <row r="90">
      <c t="s" r="A90">
        <v>158</v>
      </c>
      <c t="s" r="B90">
        <v>159</v>
      </c>
      <c t="s" r="E90">
        <v>160</v>
      </c>
      <c r="F90">
        <f>(1*256)+144</f>
        <v>400</v>
      </c>
      <c r="G90">
        <f>(1*256)+94</f>
        <v>350</v>
      </c>
    </row>
    <row r="91">
      <c t="s" r="A91">
        <v>158</v>
      </c>
      <c t="s" r="B91">
        <v>161</v>
      </c>
      <c t="s" r="E91">
        <v>162</v>
      </c>
      <c r="F91">
        <v>70</v>
      </c>
      <c r="G91">
        <v>81</v>
      </c>
    </row>
    <row r="92">
      <c t="s" r="A92">
        <v>158</v>
      </c>
      <c t="s" r="B92">
        <v>163</v>
      </c>
      <c t="s" r="E92">
        <v>103</v>
      </c>
      <c r="F92">
        <f>F90/F91</f>
        <v>5.71428571428572</v>
      </c>
      <c r="G92">
        <f>G90/G91</f>
        <v>4.32098765432099</v>
      </c>
    </row>
    <row r="93">
      <c t="s" r="A93">
        <v>164</v>
      </c>
      <c t="s" r="B93">
        <v>165</v>
      </c>
      <c t="s" r="E93">
        <v>166</v>
      </c>
    </row>
    <row r="94">
      <c t="s" r="A94">
        <v>164</v>
      </c>
      <c t="s" r="B94">
        <v>167</v>
      </c>
      <c t="s" r="E94">
        <v>103</v>
      </c>
      <c r="F94">
        <f>(2*256)+193</f>
        <v>705</v>
      </c>
    </row>
    <row r="95">
      <c t="s" r="A95">
        <v>168</v>
      </c>
      <c t="s" r="B95">
        <v>169</v>
      </c>
      <c t="s" r="E95">
        <v>170</v>
      </c>
      <c r="F95">
        <f>(1*256)+214</f>
        <v>470</v>
      </c>
    </row>
    <row r="96">
      <c t="s" r="A96">
        <v>168</v>
      </c>
      <c t="s" r="B96">
        <v>171</v>
      </c>
      <c t="s" r="E96">
        <v>83</v>
      </c>
    </row>
    <row r="98">
      <c t="s" s="4" r="A98">
        <v>79</v>
      </c>
    </row>
    <row r="99">
      <c t="s" r="A99">
        <v>172</v>
      </c>
      <c t="s" r="B99">
        <v>173</v>
      </c>
    </row>
    <row r="100">
      <c t="s" r="A100">
        <v>174</v>
      </c>
      <c t="s" r="B100">
        <v>175</v>
      </c>
    </row>
    <row r="102">
      <c t="s" s="4" r="A102">
        <v>83</v>
      </c>
    </row>
    <row r="103">
      <c t="s" r="A103">
        <v>172</v>
      </c>
      <c t="s" r="B103">
        <v>173</v>
      </c>
    </row>
    <row r="104">
      <c t="s" r="A104">
        <v>176</v>
      </c>
      <c t="s" r="B104">
        <v>173</v>
      </c>
    </row>
    <row r="105">
      <c t="s" r="A105">
        <v>177</v>
      </c>
      <c t="s" r="B105">
        <v>175</v>
      </c>
    </row>
    <row r="106">
      <c t="s" r="A106">
        <v>178</v>
      </c>
      <c t="s" r="B106">
        <v>179</v>
      </c>
    </row>
    <row r="107">
      <c s="4" r="A107"/>
    </row>
    <row r="108">
      <c t="s" s="4" r="A108">
        <v>89</v>
      </c>
    </row>
    <row r="109">
      <c t="s" r="A109">
        <v>180</v>
      </c>
      <c t="s" r="B109">
        <v>173</v>
      </c>
    </row>
    <row r="110">
      <c t="s" r="A110">
        <v>181</v>
      </c>
      <c t="s" r="B110">
        <v>175</v>
      </c>
    </row>
    <row r="112">
      <c t="s" r="A112">
        <v>182</v>
      </c>
      <c t="s" r="B112">
        <v>183</v>
      </c>
      <c t="s" r="C112">
        <v>158</v>
      </c>
      <c t="s" r="D112">
        <v>184</v>
      </c>
    </row>
    <row r="113">
      <c t="s" r="A113">
        <v>79</v>
      </c>
      <c t="s" r="B113">
        <v>129</v>
      </c>
      <c t="s" r="C113">
        <v>159</v>
      </c>
      <c t="s" r="D113">
        <v>169</v>
      </c>
    </row>
    <row r="114">
      <c t="s" r="A114">
        <v>83</v>
      </c>
      <c t="s" r="B114">
        <v>185</v>
      </c>
      <c t="s" r="C114">
        <v>159</v>
      </c>
      <c t="s" r="D114">
        <v>171</v>
      </c>
    </row>
    <row r="115">
      <c t="s" r="A115">
        <v>96</v>
      </c>
      <c t="s" r="B115">
        <v>186</v>
      </c>
      <c t="s" r="C115">
        <v>159</v>
      </c>
      <c t="s" r="D115">
        <v>169</v>
      </c>
    </row>
    <row r="116">
      <c t="s" r="A116">
        <v>89</v>
      </c>
      <c t="s" r="B116">
        <v>187</v>
      </c>
      <c t="s" r="C116">
        <v>161</v>
      </c>
      <c t="s" r="D116">
        <v>169</v>
      </c>
    </row>
    <row r="117">
      <c t="s" r="A117">
        <v>143</v>
      </c>
      <c t="s" r="B117">
        <v>188</v>
      </c>
      <c t="s" r="C117">
        <v>161</v>
      </c>
      <c t="s" r="D117">
        <v>169</v>
      </c>
    </row>
    <row r="118">
      <c t="s" r="A118">
        <v>152</v>
      </c>
      <c t="s" r="B118">
        <v>189</v>
      </c>
      <c t="s" r="C118">
        <v>161</v>
      </c>
      <c t="s" r="D118">
        <v>169</v>
      </c>
    </row>
    <row r="119">
      <c t="s" r="A119">
        <v>103</v>
      </c>
      <c t="s" r="B119">
        <v>190</v>
      </c>
      <c t="s" r="C119">
        <v>163</v>
      </c>
      <c t="s" r="D119">
        <v>169</v>
      </c>
    </row>
  </sheetData>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40.29"/>
  </cols>
  <sheetData>
    <row r="1">
      <c s="11" r="A1"/>
    </row>
    <row r="9">
      <c s="11" r="A9"/>
    </row>
  </sheetData>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14" defaultRowHeight="12.75"/>
  <cols>
    <col min="1" customWidth="1" max="1" width="4.14"/>
    <col min="2" customWidth="1" max="2" width="15.57"/>
    <col min="3" customWidth="1" max="3" width="9.14"/>
    <col min="4" customWidth="1" max="4" width="7.43"/>
    <col min="5" customWidth="1" max="5" width="10.14"/>
    <col min="6" customWidth="1" max="6" width="7.14"/>
    <col min="7" customWidth="1" max="7" width="5.14"/>
    <col min="8" customWidth="1" max="8" width="6.86"/>
    <col min="9" customWidth="1" max="9" width="7.0"/>
    <col min="10" customWidth="1" max="10" width="3.14"/>
    <col min="11" customWidth="1" max="11" width="5.43"/>
    <col min="12" customWidth="1" max="12" width="3.14"/>
    <col min="13" customWidth="1" max="13" width="5.43"/>
    <col min="14" customWidth="1" max="14" width="3.14"/>
  </cols>
  <sheetData>
    <row r="2">
      <c t="s" r="C2">
        <v>191</v>
      </c>
      <c t="s" r="D2">
        <v>192</v>
      </c>
      <c t="s" r="E2">
        <v>193</v>
      </c>
      <c t="s" r="F2">
        <v>192</v>
      </c>
      <c t="s" r="G2">
        <v>194</v>
      </c>
      <c t="s" r="H2">
        <v>195</v>
      </c>
    </row>
    <row r="3">
      <c t="s" r="B3">
        <v>196</v>
      </c>
      <c r="C3">
        <v>22367</v>
      </c>
      <c r="E3">
        <v>22367</v>
      </c>
    </row>
    <row r="4">
      <c t="s" r="B4">
        <v>197</v>
      </c>
      <c r="C4">
        <v>22773</v>
      </c>
      <c r="D4">
        <f>C4-C3</f>
        <v>406</v>
      </c>
      <c r="E4">
        <v>22759</v>
      </c>
      <c r="F4">
        <f>E4-E3</f>
        <v>392</v>
      </c>
      <c r="G4">
        <f>D4-F4</f>
        <v>14</v>
      </c>
      <c t="s" r="H4">
        <v>198</v>
      </c>
    </row>
    <row r="5">
      <c t="s" r="B5">
        <v>199</v>
      </c>
      <c r="C5">
        <v>23146</v>
      </c>
      <c r="D5">
        <f>C5-C4</f>
        <v>373</v>
      </c>
      <c r="E5">
        <v>23127</v>
      </c>
      <c r="F5">
        <f>E5-E4</f>
        <v>368</v>
      </c>
      <c r="G5">
        <f>D5-F5</f>
        <v>5</v>
      </c>
      <c t="s" r="H5">
        <v>200</v>
      </c>
    </row>
    <row r="6">
      <c t="s" r="B6">
        <v>201</v>
      </c>
      <c r="C6">
        <v>23491</v>
      </c>
      <c r="D6">
        <f>C6-C5</f>
        <v>345</v>
      </c>
      <c r="E6">
        <v>23459</v>
      </c>
      <c r="F6">
        <f>E6-E5</f>
        <v>332</v>
      </c>
      <c r="G6">
        <f>D6-F6</f>
        <v>13</v>
      </c>
      <c t="s" r="H6">
        <v>202</v>
      </c>
      <c t="s" r="P6">
        <v>203</v>
      </c>
      <c t="s" r="Q6">
        <v>182</v>
      </c>
      <c t="s" r="R6">
        <v>203</v>
      </c>
      <c t="s" r="S6">
        <v>183</v>
      </c>
      <c t="s" r="T6">
        <v>203</v>
      </c>
      <c t="s" r="U6">
        <v>158</v>
      </c>
      <c t="s" r="V6">
        <v>203</v>
      </c>
      <c t="s" r="W6">
        <v>184</v>
      </c>
    </row>
    <row r="7">
      <c t="s" r="B7">
        <v>204</v>
      </c>
      <c r="C7">
        <v>23803</v>
      </c>
      <c r="D7">
        <f>C7-C6</f>
        <v>312</v>
      </c>
      <c r="E7">
        <v>23754</v>
      </c>
      <c r="F7">
        <f>E7-E6</f>
        <v>295</v>
      </c>
      <c r="G7">
        <f>D7-F7</f>
        <v>17</v>
      </c>
      <c t="s" r="P7">
        <v>205</v>
      </c>
      <c t="s" r="Q7">
        <v>79</v>
      </c>
      <c t="s" r="R7">
        <v>205</v>
      </c>
      <c t="s" r="S7">
        <v>129</v>
      </c>
      <c t="s" r="T7">
        <v>205</v>
      </c>
      <c t="s" r="U7">
        <v>159</v>
      </c>
      <c t="s" r="V7">
        <v>205</v>
      </c>
      <c t="s" r="W7">
        <v>169</v>
      </c>
    </row>
    <row r="8">
      <c t="s" r="B8">
        <v>206</v>
      </c>
      <c r="C8">
        <v>24072</v>
      </c>
      <c r="D8">
        <f>C8-C7</f>
        <v>269</v>
      </c>
      <c r="E8">
        <v>24014</v>
      </c>
      <c r="F8">
        <f>E8-E7</f>
        <v>260</v>
      </c>
      <c r="G8">
        <f>D8-F8</f>
        <v>9</v>
      </c>
      <c t="s" r="P8">
        <v>205</v>
      </c>
      <c t="s" r="Q8">
        <v>83</v>
      </c>
      <c t="s" r="R8">
        <v>205</v>
      </c>
      <c t="s" r="S8">
        <v>185</v>
      </c>
      <c t="s" r="T8">
        <v>205</v>
      </c>
      <c t="s" r="U8">
        <v>159</v>
      </c>
      <c t="s" r="V8">
        <v>205</v>
      </c>
      <c t="s" r="W8">
        <v>171</v>
      </c>
    </row>
    <row r="9">
      <c t="s" r="B9">
        <v>207</v>
      </c>
      <c r="C9">
        <v>24203</v>
      </c>
      <c r="D9">
        <f>C9-C8</f>
        <v>131</v>
      </c>
      <c r="E9">
        <v>24149</v>
      </c>
      <c r="F9">
        <f>E9-E8</f>
        <v>135</v>
      </c>
      <c r="G9">
        <f>D9-F9</f>
        <v>-4</v>
      </c>
      <c t="s" r="P9">
        <v>205</v>
      </c>
      <c t="s" r="Q9">
        <v>96</v>
      </c>
      <c t="s" r="R9">
        <v>205</v>
      </c>
      <c t="s" r="S9">
        <v>186</v>
      </c>
      <c t="s" r="T9">
        <v>205</v>
      </c>
      <c t="s" r="U9">
        <v>159</v>
      </c>
      <c t="s" r="V9">
        <v>205</v>
      </c>
      <c t="s" r="W9">
        <v>169</v>
      </c>
    </row>
    <row r="10">
      <c t="s" r="B10">
        <v>208</v>
      </c>
      <c r="C10">
        <v>24253</v>
      </c>
      <c r="D10">
        <f>C10-C9</f>
        <v>50</v>
      </c>
      <c r="E10">
        <v>24192</v>
      </c>
      <c r="F10">
        <f>E10-E9</f>
        <v>43</v>
      </c>
      <c r="G10">
        <f>D10-F10</f>
        <v>7</v>
      </c>
      <c t="s" r="P10">
        <v>205</v>
      </c>
      <c t="s" r="Q10">
        <v>89</v>
      </c>
      <c t="s" r="R10">
        <v>205</v>
      </c>
      <c t="s" r="S10">
        <v>187</v>
      </c>
      <c t="s" r="T10">
        <v>205</v>
      </c>
      <c t="s" r="U10">
        <v>161</v>
      </c>
      <c t="s" r="V10">
        <v>205</v>
      </c>
      <c t="s" r="W10">
        <v>169</v>
      </c>
    </row>
    <row r="11">
      <c t="s" r="B11">
        <v>209</v>
      </c>
      <c r="C11">
        <v>24366</v>
      </c>
      <c r="D11">
        <f>C11-C10</f>
        <v>113</v>
      </c>
      <c r="E11">
        <v>24303</v>
      </c>
      <c r="F11">
        <f>E11-E10</f>
        <v>111</v>
      </c>
      <c r="G11">
        <f>D11-F11</f>
        <v>2</v>
      </c>
      <c t="s" r="P11">
        <v>205</v>
      </c>
      <c t="s" r="Q11">
        <v>143</v>
      </c>
      <c t="s" r="R11">
        <v>205</v>
      </c>
      <c t="s" r="S11">
        <v>188</v>
      </c>
      <c t="s" r="T11">
        <v>205</v>
      </c>
      <c t="s" r="U11">
        <v>161</v>
      </c>
      <c t="s" r="V11">
        <v>205</v>
      </c>
      <c t="s" r="W11">
        <v>169</v>
      </c>
    </row>
    <row r="12">
      <c t="s" r="B12">
        <v>210</v>
      </c>
      <c r="C12">
        <v>24390</v>
      </c>
      <c r="D12">
        <f>C12-C11</f>
        <v>24</v>
      </c>
      <c r="E12">
        <v>24327</v>
      </c>
      <c r="F12">
        <f>E12-E11</f>
        <v>24</v>
      </c>
      <c r="G12">
        <f>D12-F12</f>
        <v>0</v>
      </c>
      <c t="s" r="P12">
        <v>205</v>
      </c>
      <c t="s" r="Q12">
        <v>152</v>
      </c>
      <c t="s" r="R12">
        <v>205</v>
      </c>
      <c t="s" r="S12">
        <v>189</v>
      </c>
      <c t="s" r="T12">
        <v>205</v>
      </c>
      <c t="s" r="U12">
        <v>161</v>
      </c>
      <c t="s" r="V12">
        <v>205</v>
      </c>
      <c t="s" r="W12">
        <v>169</v>
      </c>
    </row>
    <row r="13">
      <c t="s" r="B13">
        <v>211</v>
      </c>
      <c r="C13">
        <v>24410</v>
      </c>
      <c r="D13">
        <f>C13-C12</f>
        <v>20</v>
      </c>
      <c r="E13">
        <v>24343</v>
      </c>
      <c r="F13">
        <f>E13-E12</f>
        <v>16</v>
      </c>
      <c r="G13">
        <f>D13-F13</f>
        <v>4</v>
      </c>
      <c t="s" r="P13">
        <v>205</v>
      </c>
      <c t="s" r="Q13">
        <v>103</v>
      </c>
      <c t="s" r="R13">
        <v>205</v>
      </c>
      <c t="s" r="S13">
        <v>190</v>
      </c>
      <c t="s" r="T13">
        <v>205</v>
      </c>
      <c t="s" r="U13">
        <v>163</v>
      </c>
      <c t="s" r="V13">
        <v>205</v>
      </c>
      <c t="s" r="W13">
        <v>169</v>
      </c>
    </row>
    <row r="14">
      <c t="s" r="B14">
        <v>212</v>
      </c>
      <c r="C14">
        <v>24431</v>
      </c>
      <c r="D14">
        <f>C14-C13</f>
        <v>21</v>
      </c>
      <c r="E14">
        <v>24365</v>
      </c>
      <c r="F14">
        <f>E14-E13</f>
        <v>22</v>
      </c>
      <c r="G14">
        <f>D14-F14</f>
        <v>-1</v>
      </c>
    </row>
    <row r="15">
      <c r="B15">
        <v>28</v>
      </c>
      <c r="E15">
        <v>24365</v>
      </c>
      <c r="F15">
        <f>E15-E14</f>
        <v>0</v>
      </c>
    </row>
    <row r="16">
      <c r="B16">
        <v>24</v>
      </c>
      <c r="E16">
        <v>24477</v>
      </c>
      <c r="F16">
        <f>E16-E15</f>
        <v>112</v>
      </c>
      <c r="M16">
        <v>217</v>
      </c>
    </row>
    <row r="17">
      <c r="B17">
        <v>20</v>
      </c>
      <c r="E17">
        <v>24589</v>
      </c>
      <c r="F17">
        <f>E17-E16</f>
        <v>112</v>
      </c>
      <c r="M17">
        <v>70</v>
      </c>
    </row>
    <row r="18">
      <c r="B18">
        <v>16</v>
      </c>
      <c r="E18">
        <v>24701</v>
      </c>
      <c r="F18">
        <f>E18-E17</f>
        <v>112</v>
      </c>
      <c r="M18">
        <v>242</v>
      </c>
    </row>
    <row r="19">
      <c r="B19">
        <v>12</v>
      </c>
      <c r="E19">
        <v>24813</v>
      </c>
      <c r="F19">
        <f>E19-E18</f>
        <v>112</v>
      </c>
      <c r="M19">
        <v>334</v>
      </c>
    </row>
    <row r="20">
      <c r="B20">
        <v>8</v>
      </c>
      <c r="E20">
        <v>24925</v>
      </c>
      <c r="F20">
        <f>E20-E19</f>
        <v>112</v>
      </c>
    </row>
    <row r="21">
      <c r="B21">
        <v>4</v>
      </c>
      <c r="E21">
        <v>25037</v>
      </c>
      <c r="F21">
        <f>E21-E20</f>
        <v>112</v>
      </c>
    </row>
    <row r="22">
      <c r="B22">
        <v>0</v>
      </c>
      <c r="E22">
        <v>25149</v>
      </c>
      <c r="F22">
        <f>E22-E21</f>
        <v>112</v>
      </c>
      <c r="M22">
        <v>615</v>
      </c>
    </row>
    <row r="23">
      <c r="M23">
        <v>341</v>
      </c>
      <c t="s" r="P23">
        <v>203</v>
      </c>
      <c t="s" r="Q23">
        <v>79</v>
      </c>
      <c t="s" r="R23">
        <v>203</v>
      </c>
      <c t="s" r="S23">
        <v>213</v>
      </c>
      <c t="s" r="T23">
        <v>203</v>
      </c>
      <c t="s" r="U23">
        <v>109</v>
      </c>
    </row>
    <row r="24">
      <c t="s" r="C24">
        <v>191</v>
      </c>
      <c t="s" r="D24">
        <v>193</v>
      </c>
      <c r="M24">
        <v>334</v>
      </c>
      <c t="s" r="P24">
        <v>205</v>
      </c>
      <c t="s" r="Q24">
        <v>214</v>
      </c>
      <c t="s" r="R24">
        <v>205</v>
      </c>
      <c t="s" r="S24">
        <v>173</v>
      </c>
      <c t="s" r="T24">
        <v>205</v>
      </c>
      <c t="s" r="U24">
        <v>175</v>
      </c>
    </row>
    <row r="25">
      <c t="s" r="B25">
        <v>215</v>
      </c>
      <c r="C25">
        <v>66089</v>
      </c>
      <c r="D25">
        <v>65740</v>
      </c>
      <c r="E25">
        <f>C25-D25</f>
        <v>349</v>
      </c>
      <c t="s" r="P25">
        <v>203</v>
      </c>
      <c t="s" r="Q25">
        <v>83</v>
      </c>
      <c t="s" r="R25">
        <v>203</v>
      </c>
      <c t="s" r="S25">
        <v>213</v>
      </c>
      <c t="s" r="T25">
        <v>203</v>
      </c>
      <c t="s" r="U25">
        <v>109</v>
      </c>
    </row>
    <row r="26">
      <c r="C26">
        <v>66120</v>
      </c>
      <c r="D26">
        <v>65771</v>
      </c>
      <c r="E26">
        <f>C26-D26</f>
        <v>349</v>
      </c>
      <c t="s" r="P26">
        <v>205</v>
      </c>
      <c t="s" r="Q26">
        <v>214</v>
      </c>
      <c t="s" r="R26">
        <v>205</v>
      </c>
      <c t="s" r="S26">
        <v>173</v>
      </c>
      <c t="s" r="T26">
        <v>205</v>
      </c>
      <c t="s" r="U26">
        <v>175</v>
      </c>
    </row>
    <row r="27">
      <c r="C27">
        <v>66162</v>
      </c>
      <c r="D27">
        <v>65813</v>
      </c>
      <c r="E27">
        <f>C27-D27</f>
        <v>349</v>
      </c>
      <c r="M27">
        <v>248</v>
      </c>
      <c t="s" r="P27">
        <v>205</v>
      </c>
      <c t="s" r="Q27">
        <v>216</v>
      </c>
      <c t="s" r="R27">
        <v>205</v>
      </c>
      <c t="s" r="S27">
        <v>173</v>
      </c>
      <c t="s" r="T27">
        <v>205</v>
      </c>
      <c t="s" r="U27">
        <v>175</v>
      </c>
    </row>
    <row r="28">
      <c r="C28">
        <v>66193</v>
      </c>
      <c r="D28">
        <v>65844</v>
      </c>
      <c r="E28">
        <f>C28-D28</f>
        <v>349</v>
      </c>
      <c r="M28">
        <v>330</v>
      </c>
      <c t="s" r="P28">
        <v>205</v>
      </c>
      <c t="s" r="Q28">
        <v>217</v>
      </c>
      <c t="s" r="R28">
        <v>205</v>
      </c>
      <c t="s" r="S28">
        <v>171</v>
      </c>
      <c t="s" r="T28">
        <v>205</v>
      </c>
      <c t="s" r="U28">
        <v>179</v>
      </c>
    </row>
    <row r="29">
      <c r="C29">
        <v>66242</v>
      </c>
      <c r="D29">
        <v>65890</v>
      </c>
      <c r="E29">
        <f>C29-D29</f>
        <v>352</v>
      </c>
      <c r="M29">
        <v>341</v>
      </c>
      <c t="s" r="P29">
        <v>203</v>
      </c>
      <c t="s" r="Q29">
        <v>89</v>
      </c>
      <c t="s" r="R29">
        <v>203</v>
      </c>
      <c t="s" r="S29">
        <v>213</v>
      </c>
      <c t="s" r="T29">
        <v>203</v>
      </c>
      <c t="s" r="U29">
        <v>109</v>
      </c>
    </row>
    <row r="30">
      <c r="C30">
        <v>66567</v>
      </c>
      <c r="D30">
        <v>66206</v>
      </c>
      <c r="E30">
        <f>C30-D30</f>
        <v>361</v>
      </c>
      <c r="M30">
        <v>334</v>
      </c>
      <c t="s" r="P30">
        <v>205</v>
      </c>
      <c t="s" r="Q30">
        <v>218</v>
      </c>
      <c t="s" r="R30">
        <v>205</v>
      </c>
      <c t="s" r="S30">
        <v>173</v>
      </c>
      <c t="s" r="T30">
        <v>205</v>
      </c>
      <c t="s" r="U30">
        <v>175</v>
      </c>
    </row>
    <row r="31">
      <c r="M31">
        <v>341</v>
      </c>
      <c t="s" r="P31">
        <v>205</v>
      </c>
      <c t="s" r="Q31">
        <v>217</v>
      </c>
      <c t="s" r="R31">
        <v>205</v>
      </c>
      <c t="s" r="S31">
        <v>169</v>
      </c>
      <c t="s" r="T31">
        <v>205</v>
      </c>
      <c t="s" r="U31">
        <v>219</v>
      </c>
    </row>
    <row r="32">
      <c t="s" r="B32">
        <v>220</v>
      </c>
      <c r="C32">
        <v>67000</v>
      </c>
      <c r="D32">
        <v>66634</v>
      </c>
      <c r="M32">
        <v>334</v>
      </c>
    </row>
    <row r="33">
      <c t="s" r="B33">
        <v>221</v>
      </c>
      <c r="C33">
        <v>67032</v>
      </c>
      <c r="D33">
        <v>66665</v>
      </c>
      <c r="E33">
        <f>C33-C32</f>
        <v>32</v>
      </c>
      <c r="F33">
        <f>D33-D32</f>
        <v>31</v>
      </c>
      <c r="M33">
        <f>sum(M16:M32)</f>
        <v>4081</v>
      </c>
    </row>
    <row r="34">
      <c t="s" r="B34">
        <v>222</v>
      </c>
      <c r="C34">
        <v>67077</v>
      </c>
      <c r="D34">
        <v>66710</v>
      </c>
      <c r="E34">
        <f>C34-C33</f>
        <v>45</v>
      </c>
      <c r="F34">
        <f>D34-D33</f>
        <v>45</v>
      </c>
    </row>
    <row r="35">
      <c t="s" r="B35">
        <v>223</v>
      </c>
      <c r="C35">
        <v>67109</v>
      </c>
      <c r="D35">
        <v>66742</v>
      </c>
      <c r="E35">
        <f>C35-C34</f>
        <v>32</v>
      </c>
      <c r="F35">
        <f>D35-D34</f>
        <v>32</v>
      </c>
    </row>
    <row r="36">
      <c t="s" r="B36">
        <v>224</v>
      </c>
      <c r="C36">
        <v>67149</v>
      </c>
      <c r="D36">
        <v>66780</v>
      </c>
      <c r="E36">
        <f>C36-C35</f>
        <v>40</v>
      </c>
      <c r="F36">
        <f>D36-D35</f>
        <v>38</v>
      </c>
    </row>
    <row r="37">
      <c t="s" r="B37">
        <v>220</v>
      </c>
      <c r="C37">
        <v>67990</v>
      </c>
      <c r="D37">
        <v>67537</v>
      </c>
      <c r="G37">
        <v>67537</v>
      </c>
    </row>
    <row r="38">
      <c t="s" r="B38">
        <v>221</v>
      </c>
      <c r="C38">
        <v>68040</v>
      </c>
      <c r="D38">
        <v>67574</v>
      </c>
      <c r="E38">
        <f>C38-C37</f>
        <v>50</v>
      </c>
      <c r="F38">
        <f>D38-D37</f>
        <v>37</v>
      </c>
      <c r="G38">
        <v>67573</v>
      </c>
    </row>
    <row r="39">
      <c t="s" r="B39">
        <v>222</v>
      </c>
      <c r="C39">
        <v>68070</v>
      </c>
      <c r="D39">
        <v>67604</v>
      </c>
      <c r="E39">
        <f>C39-C38</f>
        <v>30</v>
      </c>
      <c r="F39">
        <f>D39-D38</f>
        <v>30</v>
      </c>
    </row>
    <row r="40">
      <c t="s" r="B40">
        <v>223</v>
      </c>
      <c r="C40">
        <v>68101</v>
      </c>
      <c r="D40">
        <v>67635</v>
      </c>
      <c r="E40">
        <f>C40-C39</f>
        <v>31</v>
      </c>
      <c r="F40">
        <f>D40-D39</f>
        <v>31</v>
      </c>
    </row>
    <row r="41">
      <c t="s" r="B41">
        <v>224</v>
      </c>
      <c r="C41">
        <v>68144</v>
      </c>
      <c r="D41">
        <v>67678</v>
      </c>
      <c r="E41">
        <f>C41-C40</f>
        <v>43</v>
      </c>
      <c r="F41">
        <f>D41-D40</f>
        <v>43</v>
      </c>
    </row>
    <row r="44">
      <c t="s" r="C44">
        <v>225</v>
      </c>
      <c t="s" r="E44">
        <v>226</v>
      </c>
    </row>
    <row r="45">
      <c t="s" r="B45">
        <v>196</v>
      </c>
      <c r="C45">
        <v>117</v>
      </c>
      <c r="D45">
        <v>29</v>
      </c>
      <c r="E45">
        <v>10348</v>
      </c>
      <c r="F45">
        <v>2075</v>
      </c>
    </row>
    <row r="46">
      <c r="B46">
        <v>200</v>
      </c>
      <c r="C46">
        <v>225</v>
      </c>
      <c r="D46">
        <v>32</v>
      </c>
      <c r="E46">
        <v>10456</v>
      </c>
      <c r="F46">
        <v>2078</v>
      </c>
      <c r="G46">
        <f>C46-C45</f>
        <v>108</v>
      </c>
      <c r="H46">
        <f>E46-E45</f>
        <v>108</v>
      </c>
      <c r="I46">
        <f>H46-G46</f>
        <v>0</v>
      </c>
    </row>
    <row r="47">
      <c r="B47">
        <v>400</v>
      </c>
      <c r="C47">
        <v>319</v>
      </c>
      <c r="D47">
        <v>51</v>
      </c>
      <c r="E47">
        <v>10554</v>
      </c>
      <c r="F47">
        <v>2094</v>
      </c>
      <c r="G47">
        <f>C47-C46</f>
        <v>94</v>
      </c>
      <c r="H47">
        <f>E47-E46</f>
        <v>98</v>
      </c>
      <c r="I47">
        <f>H47-G47</f>
        <v>4</v>
      </c>
    </row>
    <row r="48">
      <c t="s" r="B48">
        <v>227</v>
      </c>
      <c r="C48">
        <v>382</v>
      </c>
      <c r="D48">
        <v>68</v>
      </c>
      <c r="E48">
        <v>10610</v>
      </c>
      <c r="F48">
        <v>2122</v>
      </c>
      <c r="G48">
        <f>C48-C47</f>
        <v>63</v>
      </c>
      <c r="H48">
        <f>E48-E47</f>
        <v>56</v>
      </c>
      <c r="I48">
        <f>H48-G48</f>
        <v>-7</v>
      </c>
    </row>
    <row r="49">
      <c r="B49">
        <v>600</v>
      </c>
      <c r="C49">
        <v>421</v>
      </c>
      <c r="D49">
        <v>81</v>
      </c>
      <c r="E49">
        <v>10641</v>
      </c>
      <c r="F49">
        <v>2123</v>
      </c>
      <c r="G49">
        <f>C49-C48</f>
        <v>39</v>
      </c>
      <c r="H49">
        <f>E49-E48</f>
        <v>31</v>
      </c>
      <c r="I49">
        <f>H49-G49</f>
        <v>-8</v>
      </c>
    </row>
    <row r="50">
      <c r="B50">
        <v>700</v>
      </c>
      <c r="C50">
        <v>482</v>
      </c>
      <c r="D50">
        <v>96</v>
      </c>
      <c r="E50">
        <v>10708</v>
      </c>
      <c r="F50">
        <v>2139</v>
      </c>
      <c r="G50">
        <f>C50-C49</f>
        <v>61</v>
      </c>
      <c r="H50">
        <f>E50-E49</f>
        <v>67</v>
      </c>
      <c r="I50">
        <f>H50-G50</f>
        <v>6</v>
      </c>
    </row>
    <row r="51">
      <c r="B51">
        <v>800</v>
      </c>
      <c r="E51">
        <v>10741</v>
      </c>
      <c r="F51">
        <v>2143</v>
      </c>
      <c r="I51">
        <f>H51-G51</f>
        <v>0</v>
      </c>
    </row>
    <row r="52">
      <c r="B52">
        <v>1000</v>
      </c>
      <c r="E52">
        <v>10870</v>
      </c>
      <c r="F52">
        <v>2166</v>
      </c>
    </row>
    <row r="53">
      <c r="B53">
        <v>1200</v>
      </c>
    </row>
    <row r="54">
      <c r="B54">
        <v>1400</v>
      </c>
    </row>
    <row r="55">
      <c r="B55">
        <v>1600</v>
      </c>
    </row>
    <row r="56">
      <c r="B56">
        <v>1800</v>
      </c>
    </row>
    <row r="57">
      <c r="B57">
        <v>2000</v>
      </c>
    </row>
    <row r="59">
      <c t="s" r="C59">
        <v>191</v>
      </c>
      <c t="s" r="D59">
        <v>193</v>
      </c>
      <c t="s" r="F59">
        <v>228</v>
      </c>
      <c t="s" r="I59">
        <v>229</v>
      </c>
    </row>
    <row r="60">
      <c t="s" r="B60">
        <v>220</v>
      </c>
      <c r="C60">
        <v>39600</v>
      </c>
      <c r="D60">
        <v>39600</v>
      </c>
      <c r="E60">
        <f>C60-D60</f>
        <v>0</v>
      </c>
      <c r="F60">
        <v>39560</v>
      </c>
      <c r="G60">
        <f>C60-F60</f>
        <v>40</v>
      </c>
      <c r="H60">
        <f>D60-F60</f>
        <v>40</v>
      </c>
      <c r="I60">
        <v>39560</v>
      </c>
    </row>
    <row r="61">
      <c t="s" r="B61">
        <v>221</v>
      </c>
      <c r="C61">
        <v>39639</v>
      </c>
      <c r="D61">
        <v>39633</v>
      </c>
      <c r="E61">
        <f>C61-D61</f>
        <v>6</v>
      </c>
      <c r="F61">
        <v>39591</v>
      </c>
      <c r="G61">
        <f>C61-F61</f>
        <v>48</v>
      </c>
      <c r="H61">
        <f>D61-F61</f>
        <v>42</v>
      </c>
      <c r="I61">
        <v>39591</v>
      </c>
      <c r="J61">
        <f>I61-I60</f>
        <v>31</v>
      </c>
    </row>
    <row r="62">
      <c t="s" r="B62">
        <v>222</v>
      </c>
      <c r="C62">
        <v>39677</v>
      </c>
      <c r="D62">
        <v>39684</v>
      </c>
      <c r="E62">
        <f>C62-D62</f>
        <v>-7</v>
      </c>
      <c r="F62">
        <v>39640</v>
      </c>
      <c r="G62">
        <f>C62-F62</f>
        <v>37</v>
      </c>
      <c r="H62">
        <f>D62-F62</f>
        <v>44</v>
      </c>
      <c r="I62">
        <v>39640</v>
      </c>
      <c r="J62">
        <f>I62-I61</f>
        <v>49</v>
      </c>
    </row>
    <row r="63">
      <c t="s" r="B63">
        <v>223</v>
      </c>
      <c r="C63">
        <v>39740</v>
      </c>
      <c r="D63">
        <v>39736</v>
      </c>
      <c r="E63">
        <f>C63-D63</f>
        <v>4</v>
      </c>
      <c r="F63">
        <v>39699</v>
      </c>
      <c r="G63">
        <f>C63-F63</f>
        <v>41</v>
      </c>
      <c r="H63">
        <f>D63-F63</f>
        <v>37</v>
      </c>
      <c r="I63">
        <v>39699</v>
      </c>
      <c r="J63">
        <f>I63-I62</f>
        <v>59</v>
      </c>
    </row>
    <row r="64">
      <c t="s" r="B64">
        <v>230</v>
      </c>
      <c r="C64">
        <v>39792</v>
      </c>
      <c r="D64">
        <v>39783</v>
      </c>
      <c r="E64">
        <f>C64-D64</f>
        <v>9</v>
      </c>
      <c r="F64">
        <v>39736</v>
      </c>
      <c r="G64">
        <f>C64-F64</f>
        <v>56</v>
      </c>
      <c r="H64">
        <f>D64-F64</f>
        <v>47</v>
      </c>
      <c r="I64">
        <v>39736</v>
      </c>
      <c r="J64">
        <f>I64-I63</f>
        <v>37</v>
      </c>
      <c r="O64">
        <v>42</v>
      </c>
    </row>
    <row r="65">
      <c t="s" r="B65">
        <v>231</v>
      </c>
      <c r="C65">
        <v>39835</v>
      </c>
      <c r="D65">
        <v>39826</v>
      </c>
      <c r="E65">
        <f>C65-D65</f>
        <v>9</v>
      </c>
      <c r="F65">
        <v>39775</v>
      </c>
      <c r="G65">
        <f>C65-F65</f>
        <v>60</v>
      </c>
      <c r="H65">
        <f>D65-F65</f>
        <v>51</v>
      </c>
      <c r="I65">
        <v>39775</v>
      </c>
      <c r="J65">
        <f>I65-I64</f>
        <v>39</v>
      </c>
    </row>
    <row r="66">
      <c t="s" r="B66">
        <v>232</v>
      </c>
      <c r="C66">
        <v>39868</v>
      </c>
      <c r="D66">
        <v>39860</v>
      </c>
      <c r="E66">
        <f>C66-D66</f>
        <v>8</v>
      </c>
      <c r="F66">
        <v>39796</v>
      </c>
      <c r="G66">
        <f>C66-F66</f>
        <v>72</v>
      </c>
      <c r="H66">
        <f>D66-F66</f>
        <v>64</v>
      </c>
      <c r="I66">
        <v>39796</v>
      </c>
      <c r="J66">
        <f>I66-I65</f>
        <v>21</v>
      </c>
    </row>
    <row r="67">
      <c t="s" r="B67">
        <v>233</v>
      </c>
      <c r="C67">
        <v>39972</v>
      </c>
      <c r="D67">
        <v>39972</v>
      </c>
    </row>
    <row r="71">
      <c r="A71">
        <v>50</v>
      </c>
      <c t="s" r="C71">
        <v>191</v>
      </c>
      <c t="s" r="D71">
        <v>234</v>
      </c>
      <c t="s" r="E71">
        <v>193</v>
      </c>
      <c r="H71">
        <v>50</v>
      </c>
      <c t="s" r="I71">
        <v>235</v>
      </c>
    </row>
    <row r="72">
      <c r="A72">
        <v>48</v>
      </c>
      <c t="s" r="B72">
        <v>236</v>
      </c>
      <c r="C72">
        <v>42595</v>
      </c>
      <c r="E72">
        <v>42595</v>
      </c>
      <c t="s" r="G72">
        <v>236</v>
      </c>
      <c r="H72">
        <v>48</v>
      </c>
      <c r="I72">
        <v>42595</v>
      </c>
      <c r="K72">
        <f>E72-I72</f>
        <v>0</v>
      </c>
    </row>
    <row r="73">
      <c r="A73">
        <v>46</v>
      </c>
      <c t="s" r="B73">
        <v>236</v>
      </c>
      <c r="C73">
        <v>42615</v>
      </c>
      <c r="D73">
        <f>C73-C72</f>
        <v>20</v>
      </c>
      <c r="E73">
        <v>42645</v>
      </c>
      <c r="F73">
        <f>E73-E72</f>
        <v>50</v>
      </c>
      <c t="s" r="G73">
        <v>237</v>
      </c>
      <c r="H73">
        <v>44</v>
      </c>
      <c r="I73">
        <v>42622</v>
      </c>
      <c r="J73">
        <f>I73-I72</f>
        <v>27</v>
      </c>
      <c r="K73">
        <f>E73-I73</f>
        <v>23</v>
      </c>
    </row>
    <row r="74">
      <c r="A74">
        <v>42</v>
      </c>
      <c t="s" r="B74">
        <v>237</v>
      </c>
      <c r="C74">
        <v>42650</v>
      </c>
      <c r="D74">
        <f>C74-C73</f>
        <v>35</v>
      </c>
      <c r="E74">
        <v>42665</v>
      </c>
      <c s="17" r="F74">
        <f>E74-E73</f>
        <v>20</v>
      </c>
      <c t="s" r="G74">
        <v>237</v>
      </c>
      <c r="H74">
        <v>40</v>
      </c>
      <c r="I74">
        <v>42642</v>
      </c>
      <c s="17" r="J74">
        <f>I74-I73</f>
        <v>20</v>
      </c>
      <c r="K74">
        <f>E74-I74</f>
        <v>23</v>
      </c>
    </row>
    <row r="75">
      <c r="A75">
        <v>38</v>
      </c>
      <c t="s" r="B75">
        <v>237</v>
      </c>
      <c r="C75">
        <v>42670</v>
      </c>
      <c r="D75">
        <f>C75-C74</f>
        <v>20</v>
      </c>
      <c r="E75">
        <v>42685</v>
      </c>
      <c r="F75">
        <f>E75-E74</f>
        <v>20</v>
      </c>
      <c t="s" r="G75">
        <v>236</v>
      </c>
      <c r="H75">
        <v>38</v>
      </c>
      <c r="I75">
        <v>42702</v>
      </c>
      <c r="J75">
        <f>I75-I74</f>
        <v>60</v>
      </c>
      <c r="K75">
        <f>E75-I75</f>
        <v>-17</v>
      </c>
    </row>
    <row r="76">
      <c r="A76">
        <v>34</v>
      </c>
      <c t="s" r="B76">
        <v>237</v>
      </c>
      <c r="C76">
        <v>42716</v>
      </c>
      <c r="D76">
        <f>C76-C75</f>
        <v>46</v>
      </c>
      <c r="E76">
        <v>42724</v>
      </c>
      <c r="F76">
        <f>E76-E75</f>
        <v>39</v>
      </c>
      <c t="s" r="G76">
        <v>237</v>
      </c>
      <c r="H76">
        <v>34</v>
      </c>
      <c r="I76">
        <v>42722</v>
      </c>
      <c r="J76">
        <f>I76-I75</f>
        <v>20</v>
      </c>
      <c r="K76">
        <f>E76-I76</f>
        <v>2</v>
      </c>
    </row>
    <row r="77">
      <c r="A77">
        <v>30</v>
      </c>
      <c t="s" r="B77">
        <v>237</v>
      </c>
      <c r="C77">
        <v>42736</v>
      </c>
      <c r="D77">
        <f>C77-C76</f>
        <v>20</v>
      </c>
      <c r="E77">
        <v>42744</v>
      </c>
      <c s="17" r="F77">
        <f>E77-E76</f>
        <v>20</v>
      </c>
      <c t="s" r="G77">
        <v>237</v>
      </c>
      <c r="H77">
        <v>30</v>
      </c>
      <c r="I77">
        <v>42742</v>
      </c>
      <c s="17" r="J77">
        <f>I77-I76</f>
        <v>20</v>
      </c>
      <c r="K77">
        <f>E77-I77</f>
        <v>2</v>
      </c>
    </row>
    <row r="78">
      <c r="A78">
        <v>28</v>
      </c>
      <c t="s" r="B78">
        <v>236</v>
      </c>
      <c r="C78">
        <v>42756</v>
      </c>
      <c r="D78">
        <f>C78-C77</f>
        <v>20</v>
      </c>
      <c r="E78">
        <v>42781</v>
      </c>
      <c r="F78">
        <f>E78-E77</f>
        <v>37</v>
      </c>
      <c t="s" r="G78">
        <v>236</v>
      </c>
      <c r="H78">
        <v>28</v>
      </c>
      <c r="I78">
        <v>42771</v>
      </c>
      <c r="J78">
        <f>I78-I77</f>
        <v>29</v>
      </c>
      <c r="K78">
        <f>E78-I78</f>
        <v>10</v>
      </c>
    </row>
    <row r="79">
      <c r="A79">
        <v>24</v>
      </c>
      <c t="s" r="B79">
        <v>237</v>
      </c>
      <c r="C79">
        <v>42791</v>
      </c>
      <c r="D79">
        <f>C79-C78</f>
        <v>35</v>
      </c>
      <c r="E79">
        <v>42806</v>
      </c>
      <c r="F79">
        <f>E79-E78</f>
        <v>25</v>
      </c>
      <c t="s" r="G79">
        <v>237</v>
      </c>
      <c r="H79">
        <v>24</v>
      </c>
      <c r="I79">
        <v>42791</v>
      </c>
      <c r="J79">
        <f>I79-I78</f>
        <v>20</v>
      </c>
      <c r="K79">
        <f>E79-I79</f>
        <v>15</v>
      </c>
    </row>
    <row r="80">
      <c r="A80">
        <v>20</v>
      </c>
      <c t="s" r="B80">
        <v>237</v>
      </c>
      <c r="C80">
        <v>42811</v>
      </c>
      <c r="D80">
        <f>C80-C79</f>
        <v>20</v>
      </c>
      <c r="E80">
        <v>42826</v>
      </c>
      <c s="17" r="F80">
        <f>E80-E79</f>
        <v>20</v>
      </c>
      <c t="s" r="G80">
        <v>237</v>
      </c>
      <c r="H80">
        <v>20</v>
      </c>
      <c r="I80">
        <v>42811</v>
      </c>
      <c s="17" r="J80">
        <f>I80-I79</f>
        <v>20</v>
      </c>
      <c r="K80">
        <f>E80-I80</f>
        <v>15</v>
      </c>
    </row>
    <row r="81">
      <c r="A81">
        <v>18</v>
      </c>
      <c t="s" r="B81">
        <v>236</v>
      </c>
      <c r="C81">
        <v>42831</v>
      </c>
      <c r="D81">
        <f>C81-C80</f>
        <v>20</v>
      </c>
      <c r="E81">
        <v>42846</v>
      </c>
      <c r="F81">
        <f>E81-E80</f>
        <v>20</v>
      </c>
      <c t="s" r="G81">
        <v>236</v>
      </c>
      <c r="H81">
        <v>18</v>
      </c>
      <c r="I81">
        <v>42840</v>
      </c>
      <c r="J81">
        <f>I81-I80</f>
        <v>29</v>
      </c>
      <c r="K81">
        <f>E81-I81</f>
        <v>6</v>
      </c>
    </row>
    <row r="82">
      <c r="A82">
        <v>14</v>
      </c>
      <c t="s" r="B82">
        <v>237</v>
      </c>
      <c r="C82">
        <v>42863</v>
      </c>
      <c r="D82">
        <f>C82-C81</f>
        <v>32</v>
      </c>
      <c r="E82">
        <v>42873</v>
      </c>
      <c r="F82">
        <f>E82-E81</f>
        <v>27</v>
      </c>
      <c t="s" r="G82">
        <v>237</v>
      </c>
      <c r="H82">
        <v>14</v>
      </c>
      <c r="I82">
        <v>42862</v>
      </c>
      <c r="J82">
        <f>I82-I81</f>
        <v>22</v>
      </c>
      <c r="K82">
        <f>E82-I82</f>
        <v>11</v>
      </c>
      <c t="s" r="L82">
        <v>238</v>
      </c>
    </row>
    <row r="83">
      <c r="A83">
        <v>10</v>
      </c>
      <c t="s" r="B83">
        <v>237</v>
      </c>
      <c r="C83">
        <v>42883</v>
      </c>
      <c r="D83">
        <f>C83-C82</f>
        <v>20</v>
      </c>
      <c r="E83">
        <v>42893</v>
      </c>
      <c s="17" r="F83">
        <f>E83-E82</f>
        <v>20</v>
      </c>
      <c t="s" r="G83">
        <v>237</v>
      </c>
      <c r="H83">
        <v>10</v>
      </c>
      <c r="I83">
        <v>42882</v>
      </c>
      <c s="17" r="J83">
        <f>I83-I82</f>
        <v>20</v>
      </c>
      <c r="K83">
        <f>E83-I83</f>
        <v>11</v>
      </c>
    </row>
    <row r="84">
      <c r="A84">
        <v>8</v>
      </c>
      <c t="s" r="B84">
        <v>236</v>
      </c>
      <c r="C84">
        <v>42903</v>
      </c>
      <c r="D84">
        <f>C84-C83</f>
        <v>20</v>
      </c>
      <c r="E84">
        <v>42913</v>
      </c>
      <c r="F84">
        <f>E84-E83</f>
        <v>20</v>
      </c>
      <c t="s" r="G84">
        <v>236</v>
      </c>
      <c r="H84">
        <v>8</v>
      </c>
      <c r="I84">
        <v>42911</v>
      </c>
      <c r="J84">
        <f>I84-I83</f>
        <v>29</v>
      </c>
      <c r="K84">
        <f>E84-I84</f>
        <v>2</v>
      </c>
    </row>
    <row r="85">
      <c r="A85">
        <v>6</v>
      </c>
      <c t="s" r="B85">
        <v>236</v>
      </c>
      <c r="C85">
        <v>42923</v>
      </c>
      <c r="D85">
        <f>C85-C84</f>
        <v>20</v>
      </c>
      <c r="E85">
        <v>42944</v>
      </c>
      <c r="F85">
        <f>E85-E84</f>
        <v>31</v>
      </c>
      <c t="s" r="G85">
        <v>237</v>
      </c>
      <c r="H85">
        <v>4</v>
      </c>
      <c r="I85">
        <v>42931</v>
      </c>
      <c r="J85">
        <f>I85-I84</f>
        <v>20</v>
      </c>
      <c r="K85">
        <f>E85-I85</f>
        <v>13</v>
      </c>
    </row>
    <row r="86">
      <c r="A86">
        <v>2</v>
      </c>
      <c t="s" r="B86">
        <v>237</v>
      </c>
      <c r="C86">
        <v>42963</v>
      </c>
      <c r="D86">
        <f>C86-C85</f>
        <v>40</v>
      </c>
      <c r="E86">
        <v>42964</v>
      </c>
      <c s="17" r="F86">
        <f>E86-E85</f>
        <v>20</v>
      </c>
      <c t="s" r="G86">
        <v>237</v>
      </c>
      <c r="H86">
        <v>0</v>
      </c>
      <c r="I86">
        <v>42951</v>
      </c>
      <c s="17" r="J86">
        <f>I86-I85</f>
        <v>20</v>
      </c>
      <c r="K86">
        <f>E86-I86</f>
        <v>13</v>
      </c>
    </row>
    <row r="87">
      <c r="A87">
        <v>-2</v>
      </c>
      <c t="s" r="B87">
        <v>237</v>
      </c>
      <c r="C87">
        <v>42983</v>
      </c>
      <c r="D87">
        <f>C87-C86</f>
        <v>20</v>
      </c>
    </row>
    <row r="88">
      <c r="E88">
        <f>C87-E86</f>
        <v>19</v>
      </c>
    </row>
    <row r="90">
      <c t="s" r="C90">
        <v>239</v>
      </c>
      <c t="s" r="D90">
        <v>240</v>
      </c>
    </row>
    <row r="91">
      <c t="s" r="B91">
        <v>241</v>
      </c>
      <c r="C91">
        <v>60794</v>
      </c>
      <c r="D91">
        <v>60799</v>
      </c>
      <c r="E91">
        <f>D91-C91</f>
        <v>5</v>
      </c>
    </row>
    <row r="92">
      <c t="s" r="B92">
        <v>242</v>
      </c>
      <c r="C92">
        <v>62022</v>
      </c>
      <c r="D92">
        <v>62025</v>
      </c>
      <c r="E92">
        <f>D92-C92</f>
        <v>3</v>
      </c>
    </row>
    <row r="93">
      <c t="s" r="B93">
        <v>243</v>
      </c>
      <c r="C93">
        <v>62460</v>
      </c>
      <c r="D93">
        <v>62221</v>
      </c>
      <c r="E93">
        <f>D93-C93</f>
        <v>-239</v>
      </c>
    </row>
    <row r="94">
      <c t="s" r="B94">
        <v>244</v>
      </c>
      <c r="C94">
        <v>62594</v>
      </c>
      <c r="D94">
        <v>62360</v>
      </c>
      <c r="E94">
        <f>D94-C94</f>
        <v>-234</v>
      </c>
      <c t="s" r="N94">
        <v>203</v>
      </c>
      <c t="s" s="4" r="O94">
        <v>79</v>
      </c>
      <c t="s" r="P94">
        <v>203</v>
      </c>
      <c t="s" s="9" r="Q94">
        <v>213</v>
      </c>
      <c t="s" r="R94">
        <v>203</v>
      </c>
      <c t="s" s="9" r="S94">
        <v>109</v>
      </c>
      <c t="s" r="T94">
        <v>203</v>
      </c>
      <c t="s" s="9" r="U94">
        <v>110</v>
      </c>
    </row>
    <row r="95">
      <c t="s" r="N95">
        <v>205</v>
      </c>
      <c t="s" r="O95">
        <v>245</v>
      </c>
      <c t="s" r="P95">
        <v>205</v>
      </c>
      <c t="s" r="Q95">
        <v>115</v>
      </c>
      <c t="s" r="R95">
        <v>205</v>
      </c>
      <c t="s" r="S95">
        <v>113</v>
      </c>
      <c t="s" r="T95">
        <v>205</v>
      </c>
      <c t="s" r="U95">
        <v>167</v>
      </c>
    </row>
    <row r="96">
      <c t="s" r="N96">
        <v>205</v>
      </c>
      <c t="s" r="O96">
        <v>246</v>
      </c>
      <c t="s" r="P96">
        <v>205</v>
      </c>
      <c t="s" r="Q96">
        <v>117</v>
      </c>
      <c t="s" r="R96">
        <v>205</v>
      </c>
      <c t="s" r="S96">
        <v>167</v>
      </c>
      <c t="s" r="T96">
        <v>205</v>
      </c>
      <c t="s" r="U96">
        <v>165</v>
      </c>
    </row>
    <row r="97">
      <c t="s" r="N97">
        <v>205</v>
      </c>
      <c t="s" r="O97">
        <v>120</v>
      </c>
      <c t="s" r="P97">
        <v>205</v>
      </c>
      <c t="s" r="Q97">
        <v>121</v>
      </c>
      <c t="s" r="R97">
        <v>205</v>
      </c>
      <c t="s" r="S97">
        <v>167</v>
      </c>
      <c t="s" r="T97">
        <v>205</v>
      </c>
      <c r="U97">
        <v>0</v>
      </c>
    </row>
    <row r="99">
      <c t="s" r="N99">
        <v>203</v>
      </c>
      <c t="s" s="4" r="O99">
        <v>83</v>
      </c>
      <c t="s" r="P99">
        <v>203</v>
      </c>
      <c t="s" s="9" r="Q99">
        <v>213</v>
      </c>
      <c t="s" r="R99">
        <v>203</v>
      </c>
      <c t="s" s="9" r="S99">
        <v>109</v>
      </c>
      <c t="s" r="T99">
        <v>203</v>
      </c>
      <c t="s" s="9" r="U99">
        <v>110</v>
      </c>
    </row>
    <row r="100">
      <c t="s" r="N100">
        <v>205</v>
      </c>
      <c t="s" r="O100">
        <v>247</v>
      </c>
      <c t="s" r="P100">
        <v>205</v>
      </c>
      <c t="s" r="Q100">
        <v>122</v>
      </c>
      <c t="s" r="R100">
        <v>205</v>
      </c>
      <c t="s" r="S100">
        <v>113</v>
      </c>
      <c t="s" r="T100">
        <v>205</v>
      </c>
      <c t="s" r="U100">
        <v>167</v>
      </c>
    </row>
    <row r="101">
      <c t="s" r="N101">
        <v>205</v>
      </c>
      <c t="s" r="O101">
        <v>248</v>
      </c>
      <c t="s" r="P101">
        <v>205</v>
      </c>
      <c t="s" r="Q101">
        <v>123</v>
      </c>
      <c t="s" r="R101">
        <v>205</v>
      </c>
      <c t="s" r="S101">
        <v>125</v>
      </c>
      <c t="s" r="T101">
        <v>205</v>
      </c>
      <c t="s" r="U101">
        <v>165</v>
      </c>
    </row>
    <row r="102">
      <c t="s" r="N102">
        <v>205</v>
      </c>
      <c t="s" r="O102">
        <v>249</v>
      </c>
      <c t="s" r="P102">
        <v>205</v>
      </c>
      <c t="s" r="Q102">
        <v>121</v>
      </c>
      <c t="s" r="R102">
        <v>205</v>
      </c>
      <c t="s" r="S102">
        <v>127</v>
      </c>
      <c t="s" r="T102">
        <v>205</v>
      </c>
      <c t="s" r="U102">
        <v>167</v>
      </c>
    </row>
    <row r="103">
      <c t="s" r="N103">
        <v>205</v>
      </c>
      <c t="s" r="O103">
        <v>250</v>
      </c>
      <c t="s" r="P103">
        <v>205</v>
      </c>
      <c t="s" r="Q103">
        <v>129</v>
      </c>
      <c t="s" r="R103">
        <v>205</v>
      </c>
      <c t="s" r="S103">
        <v>167</v>
      </c>
      <c t="s" r="T103">
        <v>205</v>
      </c>
      <c r="U103">
        <v>0</v>
      </c>
    </row>
    <row r="104">
      <c t="s" r="N104">
        <v>205</v>
      </c>
      <c t="s" r="O104">
        <v>251</v>
      </c>
      <c t="s" r="P104">
        <v>205</v>
      </c>
      <c t="s" r="Q104">
        <v>131</v>
      </c>
      <c t="s" r="R104">
        <v>205</v>
      </c>
      <c t="s" r="S104">
        <v>133</v>
      </c>
      <c t="s" r="T104">
        <v>205</v>
      </c>
      <c t="s" r="U104">
        <v>167</v>
      </c>
    </row>
    <row r="105">
      <c t="s" r="N105">
        <v>205</v>
      </c>
      <c t="s" r="O105">
        <v>252</v>
      </c>
      <c t="s" r="P105">
        <v>205</v>
      </c>
      <c t="s" r="Q105">
        <v>253</v>
      </c>
      <c t="s" r="R105">
        <v>205</v>
      </c>
      <c t="s" r="S105">
        <v>167</v>
      </c>
      <c t="s" r="T105">
        <v>205</v>
      </c>
      <c r="U105">
        <v>0</v>
      </c>
    </row>
    <row r="106">
      <c t="s" r="N106">
        <v>205</v>
      </c>
      <c t="s" r="O106">
        <v>254</v>
      </c>
      <c t="s" r="P106">
        <v>205</v>
      </c>
      <c t="s" r="Q106">
        <v>255</v>
      </c>
      <c t="s" r="R106">
        <v>205</v>
      </c>
      <c t="s" r="S106">
        <v>167</v>
      </c>
      <c t="s" r="T106">
        <v>205</v>
      </c>
      <c r="U106">
        <v>0</v>
      </c>
    </row>
    <row r="109">
      <c t="s" r="N109">
        <v>203</v>
      </c>
      <c t="s" s="4" r="O109">
        <v>89</v>
      </c>
      <c t="s" r="P109">
        <v>203</v>
      </c>
      <c t="s" s="9" r="Q109">
        <v>213</v>
      </c>
      <c t="s" r="R109">
        <v>203</v>
      </c>
      <c t="s" s="9" r="S109">
        <v>109</v>
      </c>
      <c t="s" r="T109">
        <v>203</v>
      </c>
      <c t="s" s="9" r="U109">
        <v>110</v>
      </c>
    </row>
    <row r="110">
      <c t="s" r="N110">
        <v>205</v>
      </c>
      <c t="s" r="O110">
        <v>247</v>
      </c>
      <c t="s" r="P110">
        <v>205</v>
      </c>
      <c t="s" r="Q110">
        <v>134</v>
      </c>
      <c t="s" r="R110">
        <v>205</v>
      </c>
      <c t="s" r="S110">
        <v>113</v>
      </c>
      <c t="s" r="T110">
        <v>205</v>
      </c>
      <c t="s" r="U110">
        <v>167</v>
      </c>
    </row>
    <row r="111">
      <c t="s" r="N111">
        <v>205</v>
      </c>
      <c t="s" r="O111">
        <v>248</v>
      </c>
      <c t="s" r="P111">
        <v>205</v>
      </c>
      <c t="s" r="Q111">
        <v>135</v>
      </c>
      <c t="s" r="R111">
        <v>205</v>
      </c>
      <c t="s" r="S111">
        <v>167</v>
      </c>
      <c t="s" r="T111">
        <v>205</v>
      </c>
      <c t="s" r="U111">
        <v>165</v>
      </c>
    </row>
    <row r="112">
      <c t="s" r="N112">
        <v>205</v>
      </c>
      <c t="s" r="O112">
        <v>249</v>
      </c>
      <c t="s" r="P112">
        <v>205</v>
      </c>
      <c t="s" r="Q112">
        <v>136</v>
      </c>
      <c t="s" r="R112">
        <v>205</v>
      </c>
      <c t="s" r="S112">
        <v>125</v>
      </c>
      <c t="s" r="T112">
        <v>205</v>
      </c>
      <c t="s" r="U112">
        <v>167</v>
      </c>
    </row>
    <row r="113">
      <c t="s" r="N113">
        <v>205</v>
      </c>
      <c t="s" r="O113">
        <v>137</v>
      </c>
      <c t="s" r="P113">
        <v>205</v>
      </c>
      <c t="s" r="Q113">
        <v>138</v>
      </c>
      <c t="s" r="R113">
        <v>205</v>
      </c>
      <c t="s" r="S113">
        <v>167</v>
      </c>
      <c t="s" r="T113">
        <v>205</v>
      </c>
      <c r="U113">
        <v>0</v>
      </c>
    </row>
    <row r="114">
      <c t="s" r="N114">
        <v>205</v>
      </c>
      <c t="s" r="O114">
        <v>139</v>
      </c>
      <c t="s" r="P114">
        <v>205</v>
      </c>
      <c t="s" r="Q114">
        <v>140</v>
      </c>
      <c t="s" r="R114">
        <v>205</v>
      </c>
      <c t="s" r="S114">
        <v>167</v>
      </c>
      <c t="s" r="T114">
        <v>205</v>
      </c>
      <c r="U114">
        <v>0</v>
      </c>
    </row>
    <row r="119">
      <c t="s" r="N119">
        <v>203</v>
      </c>
      <c t="s" s="4" r="O119">
        <v>143</v>
      </c>
      <c t="s" r="P119">
        <v>203</v>
      </c>
      <c t="s" s="9" r="Q119">
        <v>213</v>
      </c>
      <c t="s" r="R119">
        <v>203</v>
      </c>
      <c t="s" s="9" r="S119">
        <v>109</v>
      </c>
      <c t="s" r="T119">
        <v>203</v>
      </c>
      <c t="s" s="9" r="U119">
        <v>110</v>
      </c>
    </row>
    <row r="120">
      <c t="s" r="N120">
        <v>205</v>
      </c>
      <c t="s" r="O120">
        <v>247</v>
      </c>
      <c t="s" r="P120">
        <v>205</v>
      </c>
      <c t="s" r="Q120">
        <v>144</v>
      </c>
      <c t="s" r="R120">
        <v>205</v>
      </c>
      <c t="s" r="S120">
        <v>113</v>
      </c>
      <c t="s" r="T120">
        <v>205</v>
      </c>
      <c t="s" r="U120">
        <v>167</v>
      </c>
    </row>
    <row r="121">
      <c t="s" r="N121">
        <v>205</v>
      </c>
      <c t="s" r="O121">
        <v>248</v>
      </c>
      <c t="s" r="P121">
        <v>205</v>
      </c>
      <c t="s" r="Q121">
        <v>145</v>
      </c>
      <c t="s" r="R121">
        <v>205</v>
      </c>
      <c t="s" r="S121">
        <v>167</v>
      </c>
      <c t="s" r="T121">
        <v>205</v>
      </c>
      <c t="s" r="U121">
        <v>165</v>
      </c>
    </row>
    <row r="122">
      <c t="s" r="N122">
        <v>205</v>
      </c>
      <c t="s" r="O122">
        <v>250</v>
      </c>
      <c t="s" r="P122">
        <v>205</v>
      </c>
      <c t="s" r="Q122">
        <v>146</v>
      </c>
      <c t="s" r="R122">
        <v>205</v>
      </c>
      <c t="s" r="S122">
        <v>167</v>
      </c>
      <c t="s" r="T122">
        <v>205</v>
      </c>
      <c r="U122">
        <v>0</v>
      </c>
    </row>
    <row r="125">
      <c t="s" r="N125">
        <v>203</v>
      </c>
      <c t="s" s="4" r="O125">
        <v>96</v>
      </c>
      <c t="s" r="P125">
        <v>203</v>
      </c>
      <c t="s" s="9" r="Q125">
        <v>213</v>
      </c>
      <c t="s" r="R125">
        <v>203</v>
      </c>
      <c t="s" s="9" r="S125">
        <v>109</v>
      </c>
      <c t="s" r="T125">
        <v>203</v>
      </c>
      <c t="s" s="9" r="U125">
        <v>110</v>
      </c>
    </row>
    <row r="126">
      <c t="s" r="N126">
        <v>205</v>
      </c>
      <c t="s" r="O126">
        <v>247</v>
      </c>
      <c t="s" r="P126">
        <v>205</v>
      </c>
      <c t="s" r="Q126">
        <v>147</v>
      </c>
      <c t="s" r="R126">
        <v>205</v>
      </c>
      <c t="s" r="S126">
        <v>113</v>
      </c>
      <c t="s" r="T126">
        <v>205</v>
      </c>
      <c t="s" r="U126">
        <v>167</v>
      </c>
    </row>
    <row r="127">
      <c t="s" r="N127">
        <v>205</v>
      </c>
      <c t="s" r="O127">
        <v>248</v>
      </c>
      <c t="s" r="P127">
        <v>205</v>
      </c>
      <c t="s" r="Q127">
        <v>149</v>
      </c>
      <c t="s" r="R127">
        <v>205</v>
      </c>
      <c t="s" r="S127">
        <v>125</v>
      </c>
      <c t="s" r="T127">
        <v>205</v>
      </c>
      <c t="s" r="U127">
        <v>165</v>
      </c>
    </row>
    <row r="128">
      <c t="s" r="N128">
        <v>205</v>
      </c>
      <c t="s" r="O128">
        <v>256</v>
      </c>
      <c t="s" r="P128">
        <v>205</v>
      </c>
      <c t="s" r="Q128">
        <v>151</v>
      </c>
      <c t="s" r="R128">
        <v>205</v>
      </c>
      <c t="s" r="S128">
        <v>167</v>
      </c>
      <c t="s" r="T128">
        <v>205</v>
      </c>
      <c r="U128">
        <v>0</v>
      </c>
    </row>
    <row r="131">
      <c t="s" r="N131">
        <v>203</v>
      </c>
      <c t="s" s="4" r="O131">
        <v>152</v>
      </c>
      <c t="s" r="P131">
        <v>203</v>
      </c>
      <c t="s" s="9" r="Q131">
        <v>213</v>
      </c>
      <c t="s" r="R131">
        <v>203</v>
      </c>
      <c t="s" s="9" r="S131">
        <v>109</v>
      </c>
      <c t="s" r="T131">
        <v>203</v>
      </c>
      <c t="s" s="9" r="U131">
        <v>110</v>
      </c>
    </row>
    <row r="132">
      <c t="s" r="N132">
        <v>205</v>
      </c>
      <c t="s" r="O132">
        <v>247</v>
      </c>
      <c t="s" r="P132">
        <v>205</v>
      </c>
      <c t="s" r="Q132">
        <v>153</v>
      </c>
      <c t="s" r="R132">
        <v>205</v>
      </c>
      <c t="s" r="S132">
        <v>113</v>
      </c>
      <c t="s" r="T132">
        <v>205</v>
      </c>
      <c t="s" r="U132">
        <v>167</v>
      </c>
    </row>
    <row r="133">
      <c t="s" r="N133">
        <v>205</v>
      </c>
      <c t="s" r="O133">
        <v>248</v>
      </c>
      <c t="s" r="P133">
        <v>205</v>
      </c>
      <c t="s" r="Q133">
        <v>145</v>
      </c>
      <c t="s" r="R133">
        <v>205</v>
      </c>
      <c t="s" r="S133">
        <v>167</v>
      </c>
      <c t="s" r="T133">
        <v>205</v>
      </c>
      <c t="s" r="U133">
        <v>165</v>
      </c>
    </row>
    <row r="134">
      <c t="s" r="N134">
        <v>205</v>
      </c>
      <c t="s" r="O134">
        <v>250</v>
      </c>
      <c t="s" r="P134">
        <v>205</v>
      </c>
      <c t="s" r="Q134">
        <v>154</v>
      </c>
      <c t="s" r="R134">
        <v>205</v>
      </c>
      <c t="s" r="S134">
        <v>167</v>
      </c>
      <c t="s" r="T134">
        <v>205</v>
      </c>
      <c r="U134">
        <v>0</v>
      </c>
    </row>
    <row r="137">
      <c t="s" r="N137">
        <v>203</v>
      </c>
      <c t="s" s="4" r="O137">
        <v>103</v>
      </c>
      <c t="s" r="P137">
        <v>203</v>
      </c>
      <c t="s" s="9" r="Q137">
        <v>213</v>
      </c>
      <c t="s" r="R137">
        <v>203</v>
      </c>
      <c t="s" s="9" r="S137">
        <v>109</v>
      </c>
      <c t="s" r="T137">
        <v>203</v>
      </c>
      <c t="s" s="9" r="U137">
        <v>110</v>
      </c>
    </row>
    <row r="138">
      <c t="s" r="N138">
        <v>205</v>
      </c>
      <c t="s" r="O138">
        <v>247</v>
      </c>
      <c t="s" r="P138">
        <v>205</v>
      </c>
      <c t="s" r="Q138">
        <v>155</v>
      </c>
      <c t="s" r="R138">
        <v>205</v>
      </c>
      <c t="s" r="S138">
        <v>113</v>
      </c>
      <c t="s" r="T138">
        <v>205</v>
      </c>
      <c t="s" r="U138">
        <v>167</v>
      </c>
    </row>
    <row r="139">
      <c t="s" r="N139">
        <v>205</v>
      </c>
      <c t="s" r="O139">
        <v>248</v>
      </c>
      <c t="s" r="P139">
        <v>205</v>
      </c>
      <c t="s" r="Q139">
        <v>257</v>
      </c>
      <c t="s" r="R139">
        <v>205</v>
      </c>
      <c t="s" r="S139">
        <v>156</v>
      </c>
      <c t="s" r="T139">
        <v>205</v>
      </c>
      <c t="s" r="U139">
        <v>167</v>
      </c>
    </row>
  </sheetData>
</worksheet>
</file>